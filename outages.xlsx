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内地" sheetId="1" state="visible" r:id="rId1"/>
    <sheet xmlns:r="http://schemas.openxmlformats.org/officeDocument/2006/relationships" name="国际" sheetId="2" state="visible" r:id="rId2"/>
    <sheet xmlns:r="http://schemas.openxmlformats.org/officeDocument/2006/relationships" name="索引" sheetId="3" state="visible" r:id="rId3"/>
  </sheets>
  <definedNames>
    <definedName name="事故扩大原因">索引!$D$3:$D$10</definedName>
    <definedName name="_xlnm._FilterDatabase" localSheetId="0" hidden="1">'内地'!$D$1:$D$51</definedName>
    <definedName name="_xlnm._FilterDatabase" localSheetId="1" hidden="1">'国际'!$E$1:$E$64</definedName>
  </definedNames>
  <calcPr calcId="191029" fullCalcOnLoad="1"/>
</workbook>
</file>

<file path=xl/styles.xml><?xml version="1.0" encoding="utf-8"?>
<styleSheet xmlns="http://schemas.openxmlformats.org/spreadsheetml/2006/main">
  <numFmts count="1">
    <numFmt numFmtId="164" formatCode="yyyy&quot;年&quot;m&quot;月&quot;d&quot;日&quot;;@"/>
  </numFmts>
  <fonts count="18">
    <font>
      <name val="等线"/>
      <charset val="134"/>
      <color theme="1"/>
      <sz val="11"/>
      <scheme val="minor"/>
    </font>
    <font>
      <name val="宋体"/>
      <charset val="134"/>
      <b val="1"/>
      <color theme="1"/>
      <sz val="10"/>
    </font>
    <font>
      <name val="宋体"/>
      <charset val="134"/>
      <b val="1"/>
      <color rgb="FF000000"/>
      <sz val="10"/>
    </font>
    <font>
      <name val="宋体"/>
      <charset val="134"/>
      <color theme="1"/>
      <sz val="9"/>
    </font>
    <font>
      <name val="等线"/>
      <charset val="134"/>
      <color theme="10"/>
      <sz val="11"/>
      <u val="single"/>
      <scheme val="minor"/>
    </font>
    <font>
      <name val="宋体"/>
      <charset val="134"/>
      <color theme="1"/>
      <sz val="10"/>
    </font>
    <font>
      <name val="宋体"/>
      <charset val="134"/>
      <color rgb="FF000000"/>
      <sz val="10"/>
    </font>
    <font>
      <name val="宋体"/>
      <charset val="134"/>
      <sz val="10"/>
    </font>
    <font>
      <name val="宋体"/>
      <charset val="134"/>
      <sz val="11"/>
    </font>
    <font>
      <name val="等线"/>
      <charset val="134"/>
      <family val="3"/>
      <sz val="9"/>
      <scheme val="minor"/>
    </font>
    <font>
      <name val="等线"/>
      <charset val="134"/>
      <family val="3"/>
      <color theme="1"/>
      <sz val="11"/>
      <scheme val="minor"/>
    </font>
    <font>
      <name val="宋体"/>
      <charset val="134"/>
      <family val="3"/>
      <color rgb="FF000000"/>
      <sz val="10"/>
    </font>
    <font>
      <name val="宋体"/>
      <charset val="134"/>
      <family val="3"/>
      <color theme="1"/>
      <sz val="10"/>
    </font>
    <font>
      <name val="宋体"/>
      <charset val="134"/>
      <family val="3"/>
      <color rgb="FFFF0000"/>
      <sz val="10"/>
    </font>
    <font>
      <name val="宋体"/>
      <charset val="134"/>
      <family val="3"/>
      <b val="1"/>
      <color theme="1"/>
      <sz val="10"/>
    </font>
    <font>
      <name val="宋体"/>
      <charset val="134"/>
      <family val="3"/>
      <color theme="10"/>
      <sz val="10"/>
      <u val="single"/>
    </font>
    <font>
      <name val="宋体"/>
      <charset val="134"/>
      <family val="3"/>
      <color theme="1"/>
      <sz val="10"/>
      <u val="single"/>
    </font>
    <font>
      <name val="宋体"/>
      <sz val="10"/>
    </font>
  </fonts>
  <fills count="3">
    <fill>
      <patternFill/>
    </fill>
    <fill>
      <patternFill patternType="gray125"/>
    </fill>
    <fill>
      <patternFill patternType="solid">
        <fgColor theme="0" tint="-0.149967955565050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right/>
      <top style="thin">
        <color auto="1"/>
      </top>
      <bottom/>
      <diagonal/>
    </border>
    <border>
      <left/>
      <right style="thin">
        <color auto="1"/>
      </right>
      <top style="thin">
        <color auto="1"/>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3">
    <xf numFmtId="0" fontId="0" fillId="0" borderId="0" applyAlignment="1">
      <alignment vertical="center"/>
    </xf>
    <xf numFmtId="0" fontId="4" fillId="0" borderId="0" applyAlignment="1">
      <alignment vertical="center"/>
    </xf>
    <xf numFmtId="0" fontId="8" fillId="0" borderId="0" applyAlignment="1">
      <alignment vertical="center"/>
    </xf>
  </cellStyleXfs>
  <cellXfs count="77">
    <xf numFmtId="0" fontId="0" fillId="0" borderId="0" applyAlignment="1" pivotButton="0" quotePrefix="0" xfId="0">
      <alignment vertical="center"/>
    </xf>
    <xf numFmtId="0" fontId="0" fillId="0" borderId="0" pivotButton="0" quotePrefix="0" xfId="0"/>
    <xf numFmtId="0" fontId="1" fillId="0" borderId="1" applyAlignment="1" pivotButton="0" quotePrefix="0" xfId="0">
      <alignment vertical="center"/>
    </xf>
    <xf numFmtId="0" fontId="2" fillId="0" borderId="1" applyAlignment="1" pivotButton="0" quotePrefix="0" xfId="0">
      <alignment horizontal="center" vertical="center" wrapText="1"/>
    </xf>
    <xf numFmtId="0" fontId="0" fillId="0" borderId="1" pivotButton="0" quotePrefix="0" xfId="0"/>
    <xf numFmtId="0" fontId="5"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vertical="center"/>
    </xf>
    <xf numFmtId="0" fontId="5" fillId="0" borderId="0" applyAlignment="1" pivotButton="0" quotePrefix="0" xfId="0">
      <alignment horizontal="left" vertical="center"/>
    </xf>
    <xf numFmtId="0" fontId="3" fillId="0" borderId="0" applyAlignment="1" pivotButton="0" quotePrefix="0" xfId="0">
      <alignment vertical="center"/>
    </xf>
    <xf numFmtId="0" fontId="5" fillId="2" borderId="0" applyAlignment="1" pivotButton="0" quotePrefix="0" xfId="0">
      <alignment horizontal="left" vertical="center"/>
    </xf>
    <xf numFmtId="0" fontId="2" fillId="2" borderId="1" applyAlignment="1" pivotButton="0" quotePrefix="0" xfId="0">
      <alignment horizontal="center" vertical="center" wrapText="1"/>
    </xf>
    <xf numFmtId="0" fontId="6" fillId="0" borderId="1" applyAlignment="1" pivotButton="0" quotePrefix="0" xfId="0">
      <alignment horizontal="left" vertical="center"/>
    </xf>
    <xf numFmtId="31"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3" fillId="0" borderId="1" applyAlignment="1" pivotButton="0" quotePrefix="0" xfId="0">
      <alignment vertical="center"/>
    </xf>
    <xf numFmtId="0" fontId="6" fillId="2" borderId="1" applyAlignment="1" pivotButton="0" quotePrefix="0" xfId="0">
      <alignment horizontal="left" vertical="center" wrapText="1"/>
    </xf>
    <xf numFmtId="0" fontId="5" fillId="0" borderId="1" applyAlignment="1" pivotButton="0" quotePrefix="0" xfId="0">
      <alignment horizontal="left" vertical="center"/>
    </xf>
    <xf numFmtId="0" fontId="6" fillId="2" borderId="1" applyAlignment="1" pivotButton="0" quotePrefix="0" xfId="0">
      <alignment horizontal="left" vertical="center"/>
    </xf>
    <xf numFmtId="0" fontId="6" fillId="0" borderId="1" applyAlignment="1" pivotButton="0" quotePrefix="0" xfId="0">
      <alignment horizontal="center" vertical="center" wrapText="1"/>
    </xf>
    <xf numFmtId="0" fontId="5" fillId="2" borderId="1" pivotButton="0" quotePrefix="0" xfId="0"/>
    <xf numFmtId="164" fontId="7" fillId="0" borderId="1" applyAlignment="1" pivotButton="0" quotePrefix="0" xfId="0">
      <alignment horizontal="center" vertical="center" wrapText="1"/>
    </xf>
    <xf numFmtId="0" fontId="6" fillId="0" borderId="1" applyAlignment="1" pivotButton="0" quotePrefix="0" xfId="0">
      <alignment vertical="center" wrapText="1"/>
    </xf>
    <xf numFmtId="0" fontId="5" fillId="0" borderId="1" applyAlignment="1" pivotButton="0" quotePrefix="0" xfId="0">
      <alignment vertical="center"/>
    </xf>
    <xf numFmtId="0" fontId="5" fillId="0" borderId="1" pivotButton="0" quotePrefix="0" xfId="0"/>
    <xf numFmtId="20" fontId="6" fillId="0" borderId="1" applyAlignment="1" pivotButton="0" quotePrefix="0" xfId="0">
      <alignment horizontal="left" vertical="center" wrapText="1"/>
    </xf>
    <xf numFmtId="31" fontId="5" fillId="0" borderId="1" applyAlignment="1" pivotButton="0" quotePrefix="0" xfId="0">
      <alignment horizontal="left" vertical="center"/>
    </xf>
    <xf numFmtId="0" fontId="5" fillId="2" borderId="1" applyAlignment="1" pivotButton="0" quotePrefix="0" xfId="0">
      <alignment horizontal="left" vertical="center"/>
    </xf>
    <xf numFmtId="0" fontId="4" fillId="0" borderId="0" applyAlignment="1" pivotButton="0" quotePrefix="0" xfId="1">
      <alignment horizontal="left" vertical="center"/>
    </xf>
    <xf numFmtId="0" fontId="5" fillId="0" borderId="6" applyAlignment="1" pivotButton="0" quotePrefix="0" xfId="0">
      <alignment horizontal="left" vertical="center"/>
    </xf>
    <xf numFmtId="0" fontId="3" fillId="0" borderId="6" applyAlignment="1" pivotButton="0" quotePrefix="0" xfId="0">
      <alignment vertical="center"/>
    </xf>
    <xf numFmtId="0" fontId="6" fillId="0" borderId="6" applyAlignment="1" pivotButton="0" quotePrefix="0" xfId="0">
      <alignment horizontal="left" vertical="center" wrapText="1"/>
    </xf>
    <xf numFmtId="0" fontId="5" fillId="2" borderId="6" applyAlignment="1" pivotButton="0" quotePrefix="0" xfId="0">
      <alignment horizontal="left" vertical="center"/>
    </xf>
    <xf numFmtId="0" fontId="10" fillId="0" borderId="0" applyAlignment="1" pivotButton="0" quotePrefix="0" xfId="0">
      <alignment vertical="center"/>
    </xf>
    <xf numFmtId="0" fontId="11" fillId="0" borderId="1" applyAlignment="1" pivotButton="0" quotePrefix="0" xfId="0">
      <alignment horizontal="left" vertical="center" wrapText="1"/>
    </xf>
    <xf numFmtId="0" fontId="12" fillId="0" borderId="0" applyAlignment="1" pivotButton="0" quotePrefix="0" xfId="0">
      <alignment horizontal="left" vertical="center"/>
    </xf>
    <xf numFmtId="0" fontId="6" fillId="0" borderId="1" applyAlignment="1" pivotButton="0" quotePrefix="0" xfId="0">
      <alignment horizontal="left" vertical="center" wrapText="1"/>
    </xf>
    <xf numFmtId="0" fontId="0" fillId="0" borderId="3" pivotButton="0" quotePrefix="0" xfId="0"/>
    <xf numFmtId="0" fontId="11" fillId="0" borderId="7" applyAlignment="1" pivotButton="0" quotePrefix="0" xfId="0">
      <alignment vertical="center" wrapText="1"/>
    </xf>
    <xf numFmtId="31" fontId="5" fillId="0" borderId="6" applyAlignment="1" pivotButton="0" quotePrefix="0" xfId="0">
      <alignment horizontal="left" vertical="center"/>
    </xf>
    <xf numFmtId="0" fontId="11" fillId="0" borderId="6" applyAlignment="1" pivotButton="0" quotePrefix="0" xfId="0">
      <alignment horizontal="left" vertical="center" wrapText="1"/>
    </xf>
    <xf numFmtId="0" fontId="12" fillId="0" borderId="6" applyAlignment="1" pivotButton="0" quotePrefix="0" xfId="0">
      <alignment horizontal="left" vertical="center"/>
    </xf>
    <xf numFmtId="0" fontId="11" fillId="0" borderId="6" applyAlignment="1" pivotButton="0" quotePrefix="0" xfId="0">
      <alignment vertical="center" wrapText="1"/>
    </xf>
    <xf numFmtId="0" fontId="14" fillId="0" borderId="1" applyAlignment="1" pivotButton="0" quotePrefix="0" xfId="0">
      <alignment horizontal="center" vertical="center" wrapText="1"/>
    </xf>
    <xf numFmtId="0" fontId="14"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14" fillId="0" borderId="6"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1" applyAlignment="1" pivotButton="0" quotePrefix="0" xfId="2">
      <alignment horizontal="left" vertical="center" wrapText="1"/>
    </xf>
    <xf numFmtId="31" fontId="12" fillId="0" borderId="1" applyAlignment="1" pivotButton="0" quotePrefix="0" xfId="2">
      <alignment horizontal="left" vertical="center" wrapText="1"/>
    </xf>
    <xf numFmtId="0" fontId="12" fillId="0" borderId="1" applyAlignment="1" pivotButton="0" quotePrefix="0" xfId="0">
      <alignment horizontal="left" vertical="center" wrapText="1"/>
    </xf>
    <xf numFmtId="0" fontId="12" fillId="0" borderId="2" applyAlignment="1" pivotButton="0" quotePrefix="0" xfId="2">
      <alignment horizontal="left" vertical="center" wrapText="1"/>
    </xf>
    <xf numFmtId="0" fontId="12" fillId="0" borderId="3" applyAlignment="1" pivotButton="0" quotePrefix="0" xfId="0">
      <alignment horizontal="left" vertical="center" wrapText="1"/>
    </xf>
    <xf numFmtId="0" fontId="12" fillId="0" borderId="6"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4" applyAlignment="1" pivotButton="0" quotePrefix="0" xfId="0">
      <alignment horizontal="left" vertical="center" wrapText="1"/>
    </xf>
    <xf numFmtId="31" fontId="12" fillId="0" borderId="2" applyAlignment="1" pivotButton="0" quotePrefix="0" xfId="2">
      <alignment horizontal="left" vertical="center" wrapText="1"/>
    </xf>
    <xf numFmtId="31" fontId="12" fillId="0" borderId="3" applyAlignment="1" pivotButton="0" quotePrefix="0" xfId="2">
      <alignment horizontal="left" vertical="center" wrapText="1"/>
    </xf>
    <xf numFmtId="0" fontId="12" fillId="0" borderId="5" applyAlignment="1" pivotButton="0" quotePrefix="0" xfId="0">
      <alignment horizontal="left" vertical="center" wrapText="1"/>
    </xf>
    <xf numFmtId="31" fontId="12" fillId="0" borderId="1" applyAlignment="1" pivotButton="0" quotePrefix="0" xfId="0">
      <alignment horizontal="left" vertical="center" wrapText="1"/>
    </xf>
    <xf numFmtId="0" fontId="12" fillId="0" borderId="2" applyAlignment="1" pivotButton="0" quotePrefix="0" xfId="0">
      <alignment horizontal="left" vertical="center" wrapText="1"/>
    </xf>
    <xf numFmtId="31" fontId="12" fillId="0" borderId="6" applyAlignment="1" pivotButton="0" quotePrefix="0" xfId="0">
      <alignment horizontal="left" vertical="center" wrapText="1"/>
    </xf>
    <xf numFmtId="0" fontId="12" fillId="0" borderId="1" applyAlignment="1" pivotButton="0" quotePrefix="0" xfId="0">
      <alignment horizontal="center" vertical="center" wrapText="1"/>
    </xf>
    <xf numFmtId="0" fontId="15" fillId="0" borderId="6" applyAlignment="1" pivotButton="0" quotePrefix="0" xfId="1">
      <alignment horizontal="left" vertical="center" wrapText="1"/>
    </xf>
    <xf numFmtId="0" fontId="12" fillId="0" borderId="1" applyAlignment="1" pivotButton="0" quotePrefix="0" xfId="0">
      <alignment horizontal="left" vertical="center"/>
    </xf>
    <xf numFmtId="0" fontId="16" fillId="0" borderId="6" applyAlignment="1" pivotButton="0" quotePrefix="0" xfId="1">
      <alignment horizontal="left" vertical="center"/>
    </xf>
    <xf numFmtId="0" fontId="15" fillId="0" borderId="6" applyAlignment="1" pivotButton="0" quotePrefix="0" xfId="0">
      <alignment horizontal="left" vertical="center" wrapText="1"/>
    </xf>
    <xf numFmtId="0" fontId="12" fillId="0" borderId="6" applyAlignment="1" pivotButton="0" quotePrefix="0" xfId="0">
      <alignment vertical="center"/>
    </xf>
    <xf numFmtId="0" fontId="17" fillId="0" borderId="10" applyAlignment="1" pivotButton="0" quotePrefix="0" xfId="0">
      <alignment vertical="center" wrapText="1"/>
    </xf>
    <xf numFmtId="0" fontId="17" fillId="2" borderId="10" applyAlignment="1" pivotButton="0" quotePrefix="0" xfId="0">
      <alignment vertical="center" wrapText="1"/>
    </xf>
    <xf numFmtId="31" fontId="17" fillId="0" borderId="10" applyAlignment="1" pivotButton="0" quotePrefix="0" xfId="0">
      <alignment vertical="center" wrapText="1"/>
    </xf>
    <xf numFmtId="164" fontId="17" fillId="0" borderId="10" applyAlignment="1" pivotButton="0" quotePrefix="0" xfId="0">
      <alignment vertical="center" wrapText="1"/>
    </xf>
    <xf numFmtId="20" fontId="17" fillId="0" borderId="10" applyAlignment="1" pivotButton="0" quotePrefix="0" xfId="0">
      <alignment vertical="center" wrapText="1"/>
    </xf>
    <xf numFmtId="0" fontId="17" fillId="0" borderId="10" applyAlignment="1" pivotButton="0" quotePrefix="0" xfId="1">
      <alignment vertical="center" wrapText="1"/>
    </xf>
    <xf numFmtId="0" fontId="17" fillId="0" borderId="10" applyAlignment="1" pivotButton="0" quotePrefix="0" xfId="2">
      <alignment vertical="center" wrapText="1"/>
    </xf>
    <xf numFmtId="31" fontId="17" fillId="0" borderId="10" applyAlignment="1" pivotButton="0" quotePrefix="0" xfId="2">
      <alignment vertical="center" wrapText="1"/>
    </xf>
    <xf numFmtId="0" fontId="0" fillId="0" borderId="13" pivotButton="0" quotePrefix="0" xfId="0"/>
  </cellXfs>
  <cellStyles count="3">
    <cellStyle name="常规" xfId="0" builtinId="0"/>
    <cellStyle name="超链接" xfId="1" builtinId="8"/>
    <cellStyle name="常规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p.weixin.qq.com/s/jh3CMWdwMFko4hSLM2xw0w?click_id=1" TargetMode="External" Id="rId1"/></Relationships>
</file>

<file path=xl/worksheets/_rels/sheet2.xml.rels><Relationships xmlns="http://schemas.openxmlformats.org/package/2006/relationships"><Relationship Type="http://schemas.openxmlformats.org/officeDocument/2006/relationships/hyperlink" Target="https://punchng.com/fibre-cuts-disrupt-telecom-services-in-nine-states/" TargetMode="External" Id="rId1"/><Relationship Type="http://schemas.openxmlformats.org/officeDocument/2006/relationships/hyperlink" Target="https://mp.weixin.qq.com/s/o-XL-OmzHh5zal_RnRAFGQ" TargetMode="External" Id="rId2"/><Relationship Type="http://schemas.openxmlformats.org/officeDocument/2006/relationships/hyperlink" Target="https://baijiahao.baidu.com/s?id=1838779169484074297&amp;wfr=spider&amp;for=pc" TargetMode="External" Id="rId3"/><Relationship Type="http://schemas.openxmlformats.org/officeDocument/2006/relationships/hyperlink" Target="https://mp.weixin.qq.com/s/OwA-d6aH051huuh_6_yR_g?click_id=1" TargetMode="External" Id="rId4"/><Relationship Type="http://schemas.openxmlformats.org/officeDocument/2006/relationships/hyperlink" Target="https://mp.weixin.qq.com/s/r9S1EZA1XXjv78i5YcmP1w" TargetMode="External" Id="rId5"/><Relationship Type="http://schemas.openxmlformats.org/officeDocument/2006/relationships/hyperlink" Target="https://mp.weixin.qq.com/s/ZYnA-K7rHtvMDj58tCOsnQ" TargetMode="External" Id="rId6"/><Relationship Type="http://schemas.openxmlformats.org/officeDocument/2006/relationships/hyperlink" Target="https://mp.weixin.qq.com/s/2xvlIlN4LqYqfOxSnyiHiw" TargetMode="External" Id="rId7"/><Relationship Type="http://schemas.openxmlformats.org/officeDocument/2006/relationships/hyperlink" Target="https://mp.weixin.qq.com/s/qcQyTWMb4SWl93_840xJXw" TargetMode="External" Id="rId8"/><Relationship Type="http://schemas.openxmlformats.org/officeDocument/2006/relationships/hyperlink" Target="https://mp.weixin.qq.com/s/mss2hRqAxCF7N3kPLQ8_7g" TargetMode="External" Id="rId9"/><Relationship Type="http://schemas.openxmlformats.org/officeDocument/2006/relationships/hyperlink" Target="https://blog.cloudflare.com/18-november-2025-outage/" TargetMode="External" Id="rId10"/><Relationship Type="http://schemas.openxmlformats.org/officeDocument/2006/relationships/hyperlink" Target="https://mp.weixin.qq.com/s/DqRoty0SisKMwOeRncdqww" TargetMode="External" Id="rId11"/><Relationship Type="http://schemas.openxmlformats.org/officeDocument/2006/relationships/hyperlink" Target="https://mp.weixin.qq.com/s/NRCEELsUMEdumnHH31l99g" TargetMode="External" Id="rId12"/></Relationships>
</file>

<file path=xl/worksheets/sheet1.xml><?xml version="1.0" encoding="utf-8"?>
<worksheet xmlns="http://schemas.openxmlformats.org/spreadsheetml/2006/main">
  <sheetPr>
    <outlinePr summaryBelow="1" summaryRight="1"/>
    <pageSetUpPr/>
  </sheetPr>
  <dimension ref="A1:W51"/>
  <sheetViews>
    <sheetView zoomScale="85" zoomScaleNormal="85" workbookViewId="0">
      <pane ySplit="1" topLeftCell="A36" activePane="bottomLeft" state="frozen"/>
      <selection pane="bottomLeft" activeCell="D36" sqref="D36"/>
    </sheetView>
  </sheetViews>
  <sheetFormatPr baseColWidth="8" defaultColWidth="17.08203125" defaultRowHeight="13"/>
  <cols>
    <col width="4.83203125" customWidth="1" style="8" min="1" max="1"/>
    <col width="19.33203125" customWidth="1" style="8" min="2" max="2"/>
    <col width="10.58203125" customWidth="1" style="8" min="3" max="3"/>
    <col width="10.83203125" customWidth="1" style="8" min="4" max="4"/>
    <col width="17.08203125" customWidth="1" style="9" min="5" max="5"/>
    <col width="10.83203125" customWidth="1" style="8" min="6" max="6"/>
    <col width="12.58203125" customWidth="1" style="8" min="7" max="8"/>
    <col hidden="1" width="15.5" customWidth="1" style="10" min="9" max="9"/>
    <col width="21.33203125" customWidth="1" style="8" min="10" max="10"/>
    <col width="20.83203125" customWidth="1" style="8" min="11" max="11"/>
    <col width="18" customWidth="1" style="8" min="12" max="12"/>
    <col width="9.9140625" customWidth="1" style="8" min="13" max="14"/>
    <col width="9.33203125" customWidth="1" style="8" min="15" max="15"/>
    <col width="22.83203125" customWidth="1" style="8" min="16" max="16"/>
    <col width="26.08203125" customWidth="1" style="8" min="17" max="17"/>
    <col width="17.08203125" customWidth="1" style="8" min="18" max="18"/>
    <col width="17.08203125" customWidth="1" style="8" min="19" max="16384"/>
  </cols>
  <sheetData>
    <row r="1" ht="24" customFormat="1" customHeight="1" s="5">
      <c r="A1" s="68" t="inlineStr">
        <is>
          <t>序号</t>
        </is>
      </c>
      <c r="B1" s="68" t="inlineStr">
        <is>
          <t>发生时间</t>
        </is>
      </c>
      <c r="C1" s="68" t="inlineStr">
        <is>
          <t>事故地点</t>
        </is>
      </c>
      <c r="D1" s="68" t="inlineStr">
        <is>
          <t>所属公司</t>
        </is>
      </c>
      <c r="E1" s="68" t="inlineStr">
        <is>
          <t>性质</t>
        </is>
      </c>
      <c r="F1" s="68" t="inlineStr">
        <is>
          <t>原因</t>
        </is>
      </c>
      <c r="G1" s="68" t="inlineStr">
        <is>
          <t>初始故障系统</t>
        </is>
      </c>
      <c r="H1" s="68" t="inlineStr">
        <is>
          <t>事故扩大原因</t>
        </is>
      </c>
      <c r="I1" s="69" t="n"/>
      <c r="J1" s="68" t="inlineStr">
        <is>
          <t>事故基本情况</t>
        </is>
      </c>
      <c r="K1" s="68" t="inlineStr">
        <is>
          <t>事故影响</t>
        </is>
      </c>
      <c r="L1" s="68" t="inlineStr">
        <is>
          <t>时间</t>
        </is>
      </c>
      <c r="M1" s="68" t="inlineStr">
        <is>
          <t>历时（分钟）</t>
        </is>
      </c>
      <c r="N1" s="68" t="inlineStr">
        <is>
          <t>影响用户数</t>
        </is>
      </c>
      <c r="O1" s="68" t="inlineStr">
        <is>
          <t>事故等级</t>
        </is>
      </c>
      <c r="P1" s="68" t="inlineStr">
        <is>
          <t>事故根因1</t>
        </is>
      </c>
      <c r="Q1" s="68" t="inlineStr">
        <is>
          <t>事故根因2</t>
        </is>
      </c>
      <c r="R1" s="68" t="inlineStr">
        <is>
          <t>事故根因3</t>
        </is>
      </c>
      <c r="S1" s="68" t="inlineStr">
        <is>
          <t>事故根因4</t>
        </is>
      </c>
      <c r="T1" s="68" t="inlineStr">
        <is>
          <t>运营商应对</t>
        </is>
      </c>
      <c r="U1" s="68" t="inlineStr">
        <is>
          <t>后续</t>
        </is>
      </c>
      <c r="V1" s="68" t="inlineStr">
        <is>
          <t>消息来源</t>
        </is>
      </c>
      <c r="W1" s="68" t="inlineStr">
        <is>
          <t>原链接</t>
        </is>
      </c>
    </row>
    <row r="2" ht="48" customHeight="1" s="1">
      <c r="A2" s="68" t="n">
        <v>1</v>
      </c>
      <c r="B2" s="70" t="inlineStr">
        <is>
          <t>2020年11月14日</t>
        </is>
      </c>
      <c r="C2" s="68" t="inlineStr">
        <is>
          <t>福建省三明市</t>
        </is>
      </c>
      <c r="D2" s="68" t="inlineStr">
        <is>
          <t>中国移动福建公司</t>
        </is>
      </c>
      <c r="E2" s="68" t="inlineStr">
        <is>
          <t>通信企业</t>
        </is>
      </c>
      <c r="F2" s="68" t="inlineStr">
        <is>
          <t>设备设施故障</t>
        </is>
      </c>
      <c r="G2" s="68" t="inlineStr">
        <is>
          <t>传输</t>
        </is>
      </c>
      <c r="H2" s="68" t="inlineStr">
        <is>
          <t>无</t>
        </is>
      </c>
      <c r="I2" s="69" t="inlineStr">
        <is>
          <t>设备故障（硬件）</t>
        </is>
      </c>
      <c r="J2" s="68" t="inlineStr">
        <is>
          <t>福建移动三明网络发生承载网故障</t>
        </is>
      </c>
      <c r="K2" s="68" t="inlineStr">
        <is>
          <t>影响约0.86万户2G用户话音业务，4G网络正常，故障期间网内网间用户短信及上网业务未受影响。</t>
        </is>
      </c>
      <c r="L2" s="68" t="inlineStr">
        <is>
          <t>故障总历时169分钟</t>
        </is>
      </c>
      <c r="M2" s="68" t="n">
        <v>169</v>
      </c>
      <c r="N2" s="68" t="n"/>
      <c r="O2" s="68" t="n"/>
      <c r="P2" s="68" t="inlineStr">
        <is>
          <t>烽火传输OTN单板故障</t>
        </is>
      </c>
      <c r="Q2" s="68" t="n"/>
      <c r="R2" s="68" t="n"/>
      <c r="S2" s="68" t="n"/>
      <c r="T2" s="68" t="n"/>
      <c r="U2" s="68" t="n"/>
      <c r="V2" s="68" t="n"/>
      <c r="W2" s="68" t="n"/>
    </row>
    <row r="3" ht="60" customHeight="1" s="1">
      <c r="A3" s="68" t="n">
        <v>2</v>
      </c>
      <c r="B3" s="70" t="inlineStr">
        <is>
          <t>2020年11月21日</t>
        </is>
      </c>
      <c r="C3" s="68" t="inlineStr">
        <is>
          <t>陕西省宝鸡市</t>
        </is>
      </c>
      <c r="D3" s="68" t="inlineStr">
        <is>
          <t>陕西电信宝鸡分公司</t>
        </is>
      </c>
      <c r="E3" s="68" t="inlineStr">
        <is>
          <t>通信企业</t>
        </is>
      </c>
      <c r="F3" s="68" t="inlineStr">
        <is>
          <t>设备设施故障</t>
        </is>
      </c>
      <c r="G3" s="68" t="inlineStr">
        <is>
          <t>电源(UPS)</t>
        </is>
      </c>
      <c r="H3" s="68" t="inlineStr">
        <is>
          <t>设备断电</t>
        </is>
      </c>
      <c r="I3" s="69" t="inlineStr">
        <is>
          <t>电力</t>
        </is>
      </c>
      <c r="J3" s="68" t="inlineStr">
        <is>
          <t>中国电信宝鸡分公司新大楼六楼电力机房科华UPS发生故障，造成宝鸡部分电信用户无法正常拨打电信手机号码及电信固话</t>
        </is>
      </c>
      <c r="K3" s="68" t="inlineStr">
        <is>
          <t>UPS故障引发一系列网络设备断电退服，影响用户超过1万户</t>
        </is>
      </c>
      <c r="L3" s="68" t="inlineStr">
        <is>
          <t>中断服务时间超过7个小时，</t>
        </is>
      </c>
      <c r="M3" s="68" t="n">
        <v>420</v>
      </c>
      <c r="N3" s="68" t="n"/>
      <c r="O3" s="68" t="n"/>
      <c r="P3" s="68" t="inlineStr">
        <is>
          <t>UPS故障</t>
        </is>
      </c>
      <c r="Q3" s="68" t="n"/>
      <c r="R3" s="68" t="n"/>
      <c r="S3" s="68" t="n"/>
      <c r="T3" s="68" t="n"/>
      <c r="U3" s="68" t="n"/>
      <c r="V3" s="68" t="n"/>
      <c r="W3" s="68" t="n"/>
    </row>
    <row r="4" ht="108" customHeight="1" s="1">
      <c r="A4" s="68" t="n">
        <v>3</v>
      </c>
      <c r="B4" s="70" t="inlineStr">
        <is>
          <t>2021年1月11日</t>
        </is>
      </c>
      <c r="C4" s="68" t="inlineStr">
        <is>
          <t>云南省怒江州泸水县</t>
        </is>
      </c>
      <c r="D4" s="68" t="inlineStr">
        <is>
          <t>中国联通</t>
        </is>
      </c>
      <c r="E4" s="68" t="inlineStr">
        <is>
          <t>通信企业</t>
        </is>
      </c>
      <c r="F4" s="68" t="inlineStr">
        <is>
          <t>外部环境-火灾</t>
        </is>
      </c>
      <c r="G4" s="68" t="inlineStr">
        <is>
          <t>电源(UPS)</t>
        </is>
      </c>
      <c r="H4" s="68" t="inlineStr">
        <is>
          <t>设备断电</t>
        </is>
      </c>
      <c r="I4" s="69" t="inlineStr">
        <is>
          <t>火灾</t>
        </is>
      </c>
      <c r="J4" s="68" t="inlineStr">
        <is>
          <t>通信机房蓄电池起火导致UPS故障造成联通怒江州联通网络及业务全阻</t>
        </is>
      </c>
      <c r="K4" s="68" t="inlineStr">
        <is>
          <t>怒江州联通网络及业务全阻，影响联通网内移动用户34372户、固定用户2405户，并造成与移动、电信互联互通电路中断</t>
        </is>
      </c>
      <c r="L4" s="68" t="n"/>
      <c r="M4" s="68" t="n"/>
      <c r="N4" s="68" t="n"/>
      <c r="O4" s="68" t="n"/>
      <c r="P4" s="68" t="inlineStr">
        <is>
          <t>动力机房蓄电池起火导致UPS温度过高，电线熔化，引起板卡温度过高，电源欠压，造成IP承载网A网、B网、CE网设备脱管，引起169网13条数据链路中断，联通至移动、电信的互联互通出现目的实体不可达，14台接入网设备脱管，2、3、4G基站全部脱管</t>
        </is>
      </c>
      <c r="Q4" s="68" t="n"/>
      <c r="R4" s="68" t="n"/>
      <c r="S4" s="68" t="n"/>
      <c r="T4" s="68" t="n"/>
      <c r="U4" s="68" t="n"/>
      <c r="V4" s="68" t="n"/>
      <c r="W4" s="68" t="n"/>
    </row>
    <row r="5" ht="60" customHeight="1" s="1">
      <c r="A5" s="68" t="n">
        <v>4</v>
      </c>
      <c r="B5" s="70" t="inlineStr">
        <is>
          <t>2021年2月10日</t>
        </is>
      </c>
      <c r="C5" s="68" t="inlineStr">
        <is>
          <t>北京大区（13省）</t>
        </is>
      </c>
      <c r="D5" s="68" t="inlineStr">
        <is>
          <t>中国联通</t>
        </is>
      </c>
      <c r="E5" s="68" t="inlineStr">
        <is>
          <t>通信企业</t>
        </is>
      </c>
      <c r="F5" s="68" t="inlineStr">
        <is>
          <t>人员误操作（割接调整）</t>
        </is>
      </c>
      <c r="G5" s="68" t="inlineStr">
        <is>
          <t>短信</t>
        </is>
      </c>
      <c r="H5" s="68" t="inlineStr">
        <is>
          <t>无</t>
        </is>
      </c>
      <c r="I5" s="69" t="inlineStr">
        <is>
          <t>光缆/链路故障</t>
        </is>
      </c>
      <c r="J5" s="68" t="inlineStr">
        <is>
          <t>北京大区VoLTE网关故障，导致中国联通北京VoLTE短信网关所辖13省部分VoLTE用户出现短信收发失败和延迟问题</t>
        </is>
      </c>
      <c r="K5" s="68" t="inlineStr">
        <is>
          <t>因时值春节前夕，且事故波及范围大，持续时间长，负面影响较大</t>
        </is>
      </c>
      <c r="L5" s="68" t="inlineStr">
        <is>
          <t>故障历时3小时20分钟，</t>
        </is>
      </c>
      <c r="M5" s="68" t="n">
        <v>200</v>
      </c>
      <c r="N5" s="68" t="n"/>
      <c r="O5" s="68" t="n"/>
      <c r="P5" s="68" t="inlineStr">
        <is>
          <t>河南联通光缆割接影响网络， VoLTE短信网关业务向北京大区容灾切换。</t>
        </is>
      </c>
      <c r="Q5" s="68" t="inlineStr">
        <is>
          <t>北京大区应对高负荷限流防护能力不足，造成北京大区VOLTE短信网关在忙时触发数据缓存服务器(Dcache)出现异常，部分数据服务器宕机</t>
        </is>
      </c>
      <c r="R5" s="68" t="n"/>
      <c r="S5" s="68" t="n"/>
      <c r="T5" s="68" t="n"/>
      <c r="U5" s="68" t="n"/>
      <c r="V5" s="68" t="n"/>
      <c r="W5" s="68" t="n"/>
    </row>
    <row r="6" ht="84" customHeight="1" s="1">
      <c r="A6" s="68" t="n">
        <v>5</v>
      </c>
      <c r="B6" s="70" t="inlineStr">
        <is>
          <t>2021年4月13日</t>
        </is>
      </c>
      <c r="C6" s="68" t="inlineStr">
        <is>
          <t>湖南全省</t>
        </is>
      </c>
      <c r="D6" s="68" t="inlineStr">
        <is>
          <t>中国电信</t>
        </is>
      </c>
      <c r="E6" s="68" t="inlineStr">
        <is>
          <t>通信企业</t>
        </is>
      </c>
      <c r="F6" s="68" t="inlineStr">
        <is>
          <t>外部破坏</t>
        </is>
      </c>
      <c r="G6" s="68" t="inlineStr">
        <is>
          <t>光缆线路</t>
        </is>
      </c>
      <c r="H6" s="68" t="inlineStr">
        <is>
          <t>处理不当</t>
        </is>
      </c>
      <c r="I6" s="69" t="inlineStr">
        <is>
          <t>光缆/链路故障</t>
        </is>
      </c>
      <c r="J6" s="68" t="inlineStr">
        <is>
          <t>因传输光缆故障导致湖南电信互联网出口拥塞。出省互联网访问质量劣化，出现上网慢或卡顿现象</t>
        </is>
      </c>
      <c r="K6" s="68" t="inlineStr">
        <is>
          <t>故障期间湖南省内互联网访问固定电话、移动电话及其他通信业务未受影响，10000号收到470个左右的用户投诉。同时引起媒体散布谣言和不实信息，造成较大负面影响</t>
        </is>
      </c>
      <c r="L6" s="68" t="inlineStr">
        <is>
          <t>业务影响共17分钟。</t>
        </is>
      </c>
      <c r="M6" s="68" t="n">
        <v>17</v>
      </c>
      <c r="N6" s="68" t="n"/>
      <c r="O6" s="68" t="n"/>
      <c r="P6" s="68" t="inlineStr">
        <is>
          <t>湖南长沙至广东深圳传输电路（广西段）被施工挖断，中国电信维护人员在处理电路故障时出现配置失误，导致出省流量拥塞</t>
        </is>
      </c>
      <c r="Q6" s="68" t="n"/>
      <c r="R6" s="68" t="n"/>
      <c r="S6" s="68" t="n"/>
      <c r="T6" s="68" t="n"/>
      <c r="U6" s="68" t="n"/>
      <c r="V6" s="68" t="n"/>
      <c r="W6" s="68" t="n"/>
    </row>
    <row r="7" ht="72" customHeight="1" s="1">
      <c r="A7" s="68" t="n">
        <v>6</v>
      </c>
      <c r="B7" s="70" t="inlineStr">
        <is>
          <t>2021年9月19日</t>
        </is>
      </c>
      <c r="C7" s="68" t="inlineStr">
        <is>
          <t>河北石家庄</t>
        </is>
      </c>
      <c r="D7" s="68" t="inlineStr">
        <is>
          <t>中国联通</t>
        </is>
      </c>
      <c r="E7" s="68" t="inlineStr">
        <is>
          <t>通信企业</t>
        </is>
      </c>
      <c r="F7" s="68" t="inlineStr">
        <is>
          <t>设备设施故障</t>
        </is>
      </c>
      <c r="G7" s="68" t="inlineStr">
        <is>
          <t>电源(UPS)</t>
        </is>
      </c>
      <c r="H7" s="68" t="inlineStr">
        <is>
          <t>冗余保护失败</t>
        </is>
      </c>
      <c r="I7" s="69" t="inlineStr">
        <is>
          <t>电力</t>
        </is>
      </c>
      <c r="J7" s="68" t="inlineStr">
        <is>
          <t>石家庄561局数据中心供电系统不间断电源设（UPS）故障，导致机房断电，使机房内某重要业务平台全部324台设备停止运行</t>
        </is>
      </c>
      <c r="K7" s="68" t="n"/>
      <c r="L7" s="68" t="inlineStr">
        <is>
          <t>本次供电系统不间断电源设备(UPS)故障，掉电持续时间3小时35分钟，机房内受影响平台设备中断运行历时超过 15小时</t>
        </is>
      </c>
      <c r="M7" s="68" t="n">
        <v>900</v>
      </c>
      <c r="N7" s="68" t="n"/>
      <c r="O7" s="68" t="n"/>
      <c r="P7" s="68" t="inlineStr">
        <is>
          <t>一是561局数据中心供电系统不间断电源设备(UPS)3#功率模块故障，造成模块输入、输出接线端子及其线缆相间短路，导致不间断电源设备(UPS)供电中断；</t>
        </is>
      </c>
      <c r="Q7" s="68" t="inlineStr">
        <is>
          <t>二是561局数据中心建设时，供电系统未按冗余要求进行配置，存在安全隐患；</t>
        </is>
      </c>
      <c r="R7" s="68" t="inlineStr">
        <is>
          <t>三是维护人员设备故障处置不力</t>
        </is>
      </c>
      <c r="S7" s="68" t="n"/>
      <c r="T7" s="68" t="n"/>
      <c r="U7" s="68" t="n"/>
      <c r="V7" s="68" t="n"/>
      <c r="W7" s="68" t="n"/>
    </row>
    <row r="8" ht="84" customHeight="1" s="1">
      <c r="A8" s="68" t="n">
        <v>7</v>
      </c>
      <c r="B8" s="70" t="inlineStr">
        <is>
          <t>2021年11月2日</t>
        </is>
      </c>
      <c r="C8" s="68" t="inlineStr">
        <is>
          <t>河北省廊坊市</t>
        </is>
      </c>
      <c r="D8" s="68" t="inlineStr">
        <is>
          <t>北京字节跳动科技有限公司</t>
        </is>
      </c>
      <c r="E8" s="68" t="inlineStr">
        <is>
          <t>互联网企业</t>
        </is>
      </c>
      <c r="F8" s="68" t="inlineStr">
        <is>
          <t>人员误操作（日常维护）</t>
        </is>
      </c>
      <c r="G8" s="68" t="inlineStr">
        <is>
          <t>承载数通</t>
        </is>
      </c>
      <c r="H8" s="68" t="inlineStr">
        <is>
          <t>无</t>
        </is>
      </c>
      <c r="I8" s="69" t="inlineStr">
        <is>
          <t>人为操作</t>
        </is>
      </c>
      <c r="J8" s="68" t="inlineStr">
        <is>
          <t>抖音廊坊武清机房和廊坊润泽机房核心交换机服务异常，导致抖音、飞书等产品部分功能出现使用问题</t>
        </is>
      </c>
      <c r="K8" s="68" t="inlineStr">
        <is>
          <t>在故障期间抖音、头条等核心业务路径通过容灾机制对用户基本没有影响，抖音服务成功率从99.97%下降到99.80%，用户感知度较低</t>
        </is>
      </c>
      <c r="L8" s="68" t="n"/>
      <c r="M8" s="68" t="n"/>
      <c r="N8" s="68" t="n"/>
      <c r="O8" s="68" t="n"/>
      <c r="P8" s="68" t="inlineStr">
        <is>
          <t>廊坊武清和廊坊润泽间核心交换机进行人为不当系统配置更改，导致路由变化，引起非预期的流量拥塞。服务在跨武清和廊坊之间调用时，会出现部分超时，进而引发用户侧部分异常</t>
        </is>
      </c>
      <c r="Q8" s="68" t="n"/>
      <c r="R8" s="68" t="n"/>
      <c r="S8" s="68" t="n"/>
      <c r="T8" s="68" t="n"/>
      <c r="U8" s="68" t="n"/>
      <c r="V8" s="68" t="n"/>
      <c r="W8" s="68" t="n"/>
    </row>
    <row r="9" ht="60" customHeight="1" s="1">
      <c r="A9" s="68" t="n">
        <v>8</v>
      </c>
      <c r="B9" s="70" t="inlineStr">
        <is>
          <t>2021年11月21日</t>
        </is>
      </c>
      <c r="C9" s="68" t="inlineStr">
        <is>
          <t>甘肃省</t>
        </is>
      </c>
      <c r="D9" s="68" t="inlineStr">
        <is>
          <t>中国电信</t>
        </is>
      </c>
      <c r="E9" s="68" t="inlineStr">
        <is>
          <t>通信企业</t>
        </is>
      </c>
      <c r="F9" s="68" t="inlineStr">
        <is>
          <t>设备设施故障</t>
        </is>
      </c>
      <c r="G9" s="68" t="inlineStr">
        <is>
          <t>5GC</t>
        </is>
      </c>
      <c r="H9" s="68" t="inlineStr">
        <is>
          <t>无</t>
        </is>
      </c>
      <c r="I9" s="69" t="inlineStr">
        <is>
          <t>设备故障（软件）</t>
        </is>
      </c>
      <c r="J9" s="68" t="inlineStr">
        <is>
          <t xml:space="preserve">甘肃电信5GC移动核心网设备故障。共部署两套爱立信UDR设备，在设备1发生故障隔离并启动设备2后，设备2同样发生故障 </t>
        </is>
      </c>
      <c r="K9" s="68" t="inlineStr">
        <is>
          <t>造成甘肃电信24万5G用户离线</t>
        </is>
      </c>
      <c r="L9" s="68" t="inlineStr">
        <is>
          <t>故障历时7小时39分钟</t>
        </is>
      </c>
      <c r="M9" s="68" t="n">
        <v>459</v>
      </c>
      <c r="N9" s="68" t="n"/>
      <c r="O9" s="68" t="inlineStr">
        <is>
          <t>重大事故</t>
        </is>
      </c>
      <c r="P9" s="68" t="inlineStr">
        <is>
          <t>UDR软件设计存在缺陷，数据库无法自动清除内存，导致内存使用率过高，出现服务异常</t>
        </is>
      </c>
      <c r="Q9" s="68" t="n"/>
      <c r="R9" s="68" t="n"/>
      <c r="S9" s="68" t="n"/>
      <c r="T9" s="68" t="n"/>
      <c r="U9" s="68" t="n"/>
      <c r="V9" s="68" t="n"/>
      <c r="W9" s="68" t="n"/>
    </row>
    <row r="10" ht="84" customHeight="1" s="1">
      <c r="A10" s="68" t="n">
        <v>9</v>
      </c>
      <c r="B10" s="70" t="inlineStr">
        <is>
          <t>2021年12月24日</t>
        </is>
      </c>
      <c r="C10" s="68" t="inlineStr">
        <is>
          <t>北京亦庄</t>
        </is>
      </c>
      <c r="D10" s="68" t="inlineStr">
        <is>
          <t>深圳市腾讯计算机系统有限公司</t>
        </is>
      </c>
      <c r="E10" s="68" t="inlineStr">
        <is>
          <t>通信企业</t>
        </is>
      </c>
      <c r="F10" s="68" t="inlineStr">
        <is>
          <t>设备设施故障</t>
        </is>
      </c>
      <c r="G10" s="68" t="inlineStr">
        <is>
          <t>电源(UPS)</t>
        </is>
      </c>
      <c r="H10" s="68" t="inlineStr">
        <is>
          <t>无</t>
        </is>
      </c>
      <c r="I10" s="69" t="inlineStr">
        <is>
          <t>电力</t>
        </is>
      </c>
      <c r="J10" s="68" t="inlineStr">
        <is>
          <t>腾讯云亦庄（二区）机房供电模块出现故障</t>
        </is>
      </c>
      <c r="K10" s="68" t="inlineStr">
        <is>
          <t>故障影响时长20分钟，共影响161个机架，1465台服务器，涉及腾讯云CVM服务器、CBS云硬盘、COS存储、基础网络、数据库等相关服务及其上层saas类业务，累计报障客户上百家</t>
        </is>
      </c>
      <c r="L10" s="68" t="n"/>
      <c r="M10" s="68" t="n"/>
      <c r="N10" s="68" t="n"/>
      <c r="O10" s="68" t="n"/>
      <c r="P10" s="68" t="inlineStr">
        <is>
          <t>UPS并机控制模块出现异常</t>
        </is>
      </c>
      <c r="Q10" s="68" t="n"/>
      <c r="R10" s="68" t="n"/>
      <c r="S10" s="68" t="n"/>
      <c r="T10" s="68" t="n"/>
      <c r="U10" s="68" t="n"/>
      <c r="V10" s="68" t="n"/>
      <c r="W10" s="68" t="n"/>
    </row>
    <row r="11" ht="72" customHeight="1" s="1">
      <c r="A11" s="68" t="n">
        <v>10</v>
      </c>
      <c r="B11" s="70" t="inlineStr">
        <is>
          <t>2022年1月12日</t>
        </is>
      </c>
      <c r="C11" s="68" t="inlineStr">
        <is>
          <t>新疆、吉林两省</t>
        </is>
      </c>
      <c r="D11" s="68" t="inlineStr">
        <is>
          <t>中国电信</t>
        </is>
      </c>
      <c r="E11" s="68" t="inlineStr">
        <is>
          <t>通信企业</t>
        </is>
      </c>
      <c r="F11" s="68" t="inlineStr">
        <is>
          <t>人员误操作（工程）</t>
        </is>
      </c>
      <c r="G11" s="68" t="inlineStr">
        <is>
          <t>承载数通</t>
        </is>
      </c>
      <c r="H11" s="68" t="inlineStr">
        <is>
          <t>配置不合理</t>
        </is>
      </c>
      <c r="I11" s="69" t="inlineStr">
        <is>
          <t>人为操作</t>
        </is>
      </c>
      <c r="J11" s="68" t="inlineStr">
        <is>
          <t>凌晨0:35中国电信实施网络工程割接时出现异常，导致新疆、吉林两省宽带用户互联网访问出现异常</t>
        </is>
      </c>
      <c r="K11" s="68" t="inlineStr">
        <is>
          <t>新疆出省流量下降2.1Tbps，期间拨打10000号投诉用户总计22837 户；吉林出省流量下降0.63Tbps，拨打10000号投诉用户总计2192户</t>
        </is>
      </c>
      <c r="L11" s="68" t="inlineStr">
        <is>
          <t xml:space="preserve">　16分钟（00:35故障，00:51恢复）</t>
        </is>
      </c>
      <c r="M11" s="68" t="n">
        <v>16</v>
      </c>
      <c r="N11" s="68" t="n"/>
      <c r="O11" s="68" t="n"/>
      <c r="P11" s="68" t="inlineStr">
        <is>
          <t>1.国际网络工程实施时出现配置错误，关闭国际向国内老平面发布的协议前，未向新平面发布缺省路由，导致缺省路由消失；</t>
        </is>
      </c>
      <c r="Q11" s="68" t="inlineStr">
        <is>
          <t>2.新疆、吉林两省缺省路由广播方式采用透传模式，当缺省路由消失后，宽带接入设备无法收到路由，影响业务正常转发</t>
        </is>
      </c>
      <c r="R11" s="68" t="n"/>
      <c r="S11" s="68" t="n"/>
      <c r="T11" s="68" t="n"/>
      <c r="U11" s="68" t="n"/>
      <c r="V11" s="68" t="n"/>
      <c r="W11" s="68" t="n"/>
    </row>
    <row r="12" ht="60" customHeight="1" s="1">
      <c r="A12" s="68" t="n">
        <v>11</v>
      </c>
      <c r="B12" s="70" t="inlineStr">
        <is>
          <t>2022年4月28日</t>
        </is>
      </c>
      <c r="C12" s="68" t="inlineStr">
        <is>
          <t>山东</t>
        </is>
      </c>
      <c r="D12" s="68" t="inlineStr">
        <is>
          <t>中国移动与中国联通</t>
        </is>
      </c>
      <c r="E12" s="68" t="inlineStr">
        <is>
          <t>通信企业</t>
        </is>
      </c>
      <c r="F12" s="68" t="inlineStr">
        <is>
          <t>人员误操作（割接调整）</t>
        </is>
      </c>
      <c r="G12" s="68" t="inlineStr">
        <is>
          <t>短信</t>
        </is>
      </c>
      <c r="H12" s="68" t="inlineStr">
        <is>
          <t>无</t>
        </is>
      </c>
      <c r="I12" s="69" t="inlineStr">
        <is>
          <t>人为操作</t>
        </is>
      </c>
      <c r="J12" s="68" t="inlineStr">
        <is>
          <t>中国移动136号段部分客户收到篡改一位后的号码发来的乱码，乱码短信由山东联通互通网关侧投递并将相关信息提供中国联通侧核查</t>
        </is>
      </c>
      <c r="K12" s="68" t="inlineStr">
        <is>
          <t>联通130号段发送移动136号段短信成功记录约1850万条，此外移动垃圾短信拦截系统拦截606万条；同时，网络上出现大面积舆情</t>
        </is>
      </c>
      <c r="L12" s="68" t="n"/>
      <c r="M12" s="68" t="n"/>
      <c r="N12" s="68" t="n"/>
      <c r="O12" s="68" t="n"/>
      <c r="P12" s="68" t="inlineStr">
        <is>
          <t>为中国联通山东分公司进行系统升级测试所致</t>
        </is>
      </c>
      <c r="Q12" s="68" t="n"/>
      <c r="R12" s="68" t="n"/>
      <c r="S12" s="68" t="n"/>
      <c r="T12" s="68" t="n"/>
      <c r="U12" s="68" t="n"/>
      <c r="V12" s="68" t="n"/>
      <c r="W12" s="68" t="n"/>
    </row>
    <row r="13" ht="96" customHeight="1" s="1">
      <c r="A13" s="68" t="n">
        <v>12</v>
      </c>
      <c r="B13" s="70" t="inlineStr">
        <is>
          <t>2022年7月22日</t>
        </is>
      </c>
      <c r="C13" s="68" t="inlineStr">
        <is>
          <t>广西</t>
        </is>
      </c>
      <c r="D13" s="68" t="inlineStr">
        <is>
          <t>广西移动</t>
        </is>
      </c>
      <c r="E13" s="68" t="inlineStr">
        <is>
          <t>通信企业</t>
        </is>
      </c>
      <c r="F13" s="68" t="inlineStr">
        <is>
          <t>设备设施故障</t>
        </is>
      </c>
      <c r="G13" s="68" t="inlineStr">
        <is>
          <t>承载数通</t>
        </is>
      </c>
      <c r="H13" s="68" t="inlineStr">
        <is>
          <t>无</t>
        </is>
      </c>
      <c r="I13" s="69" t="inlineStr">
        <is>
          <t>设备故障（软件）</t>
        </is>
      </c>
      <c r="J13" s="68" t="inlineStr">
        <is>
          <t>广西移动CMNET网络发生流量骤降，影响部分通信业务，事故原因定位为在网运行的骨干路由器Juniper T1600。</t>
        </is>
      </c>
      <c r="K13" s="68" t="inlineStr">
        <is>
          <t>广西移动4/5G受影响用户数约2.04万，共收到278位用户投诉；部分集团客户互联网专线业务出现卡顿和短时中断，共收到39家业务投诉；部分IMS固话用户业务短时中断，共收到28位客户投诉。</t>
        </is>
      </c>
      <c r="L13" s="68" t="inlineStr">
        <is>
          <t>短时</t>
        </is>
      </c>
      <c r="M13" s="68" t="n"/>
      <c r="N13" s="68" t="n"/>
      <c r="O13" s="68" t="n"/>
      <c r="P13" s="68" t="inlineStr">
        <is>
          <t>故障路由器采用静态内存分配方式，在整机内存利用率并不高的情况下，单个进程内存利用率升高，即会导致进程重启引起路由失效，继而影响业务</t>
        </is>
      </c>
      <c r="Q13" s="68" t="inlineStr">
        <is>
          <t>广西移动同时部署了网管监控和自动巡检系统功能，依照维护惯例仅将整机CPU、内存利用率纳入告警（80-90为二级告警、90-100为一级告警），但并未关注重点进程占用内存情况。</t>
        </is>
      </c>
      <c r="R13" s="68" t="n"/>
      <c r="S13" s="68" t="n"/>
      <c r="T13" s="68" t="n"/>
      <c r="U13" s="68" t="n"/>
      <c r="V13" s="68" t="n"/>
      <c r="W13" s="68" t="n"/>
    </row>
    <row r="14" ht="107.5" customHeight="1" s="1">
      <c r="A14" s="68" t="n">
        <v>13</v>
      </c>
      <c r="B14" s="70" t="inlineStr">
        <is>
          <t>2022年9月16日</t>
        </is>
      </c>
      <c r="C14" s="68" t="inlineStr">
        <is>
          <t>湖南长沙</t>
        </is>
      </c>
      <c r="D14" s="68" t="inlineStr">
        <is>
          <t>湖南电信</t>
        </is>
      </c>
      <c r="E14" s="68" t="inlineStr">
        <is>
          <t>通信企业</t>
        </is>
      </c>
      <c r="F14" s="68" t="inlineStr">
        <is>
          <t>外部环境-火灾</t>
        </is>
      </c>
      <c r="G14" s="68" t="inlineStr">
        <is>
          <t>2/3G</t>
        </is>
      </c>
      <c r="H14" s="68" t="inlineStr">
        <is>
          <t>消防喷淋</t>
        </is>
      </c>
      <c r="I14" s="69" t="inlineStr">
        <is>
          <t>火灾</t>
        </is>
      </c>
      <c r="J14" s="68" t="inlineStr">
        <is>
          <t>长沙移动花园大厦起火</t>
        </is>
      </c>
      <c r="K14" s="68" t="inlineStr">
        <is>
          <t>（1）2G语音。影响长沙、株洲、张家界、湘西、怀化、常德、娄底7个市州2G语音业务，涉及用户共48万，中断时间16日17时11分至17日6时55分，历时13小时44分；
（2）4/5G语音。影响业务接通成功率，16日17点起开始下降，最低下降至40%左右，16日22时30分基本恢复；
（3）短信息。影响长沙、株洲、湘潭、张家界、湘西、怀化6个市州短信业务，中断时间16日20时00分至21时15分，历时1小时15分；
（4）专线。影响671条政企专线业务，涉及298家客户单位，其中地市级党政军单位30家。中断时间16日17时37分到17日11时20分，历时17小时43分。</t>
        </is>
      </c>
      <c r="L14" s="76" t="n"/>
      <c r="M14" s="68" t="n">
        <v>824</v>
      </c>
      <c r="N14" s="68" t="n"/>
      <c r="O14" s="68" t="inlineStr">
        <is>
          <t>重大事故</t>
        </is>
      </c>
      <c r="P14" s="68" t="inlineStr">
        <is>
          <t>2G移动通信网络的TMSC（汇接移动交换中心）未落实至少配置双节点保护措施，且无法实现自动倒换。</t>
        </is>
      </c>
      <c r="Q14" s="68" t="inlineStr">
        <is>
          <t>短消息系统文件失效</t>
        </is>
      </c>
      <c r="R14" s="68" t="inlineStr">
        <is>
          <t>荷花园电信大厦主楼外立面装修材料不符合防火要求，防火封堵不规范。</t>
        </is>
      </c>
      <c r="S14" s="68" t="inlineStr">
        <is>
          <t>应急预案不完整不齐全，启动不及时</t>
        </is>
      </c>
      <c r="T14" s="68" t="n"/>
      <c r="U14" s="68" t="n"/>
      <c r="V14" s="68" t="n"/>
      <c r="W14" s="68" t="n"/>
    </row>
    <row r="15" ht="24" customHeight="1" s="1">
      <c r="A15" s="68" t="n">
        <v>14</v>
      </c>
      <c r="B15" s="70" t="inlineStr">
        <is>
          <t>2023年1月8日</t>
        </is>
      </c>
      <c r="C15" s="68" t="inlineStr">
        <is>
          <t>北京</t>
        </is>
      </c>
      <c r="D15" s="68" t="inlineStr">
        <is>
          <t>北京移动</t>
        </is>
      </c>
      <c r="E15" s="68" t="inlineStr">
        <is>
          <t>通信企业</t>
        </is>
      </c>
      <c r="F15" s="68" t="inlineStr">
        <is>
          <t>人员误操作（日常维护）</t>
        </is>
      </c>
      <c r="G15" s="68" t="inlineStr">
        <is>
          <t>短信</t>
        </is>
      </c>
      <c r="H15" s="68" t="inlineStr">
        <is>
          <t>无</t>
        </is>
      </c>
      <c r="I15" s="69" t="inlineStr">
        <is>
          <t>人为操作</t>
        </is>
      </c>
      <c r="J15" s="68" t="inlineStr">
        <is>
          <t>晚20:02向部分用户发送“王牌飞行员申请出战”短信</t>
        </is>
      </c>
      <c r="K15" s="68" t="n"/>
      <c r="L15" s="68" t="n"/>
      <c r="M15" s="68" t="n"/>
      <c r="N15" s="68" t="n"/>
      <c r="O15" s="68" t="n"/>
      <c r="P15" s="68" t="n"/>
      <c r="Q15" s="68" t="n"/>
      <c r="R15" s="68" t="n"/>
      <c r="S15" s="68" t="n"/>
      <c r="T15" s="68" t="n"/>
      <c r="U15" s="68" t="n"/>
      <c r="V15" s="68" t="n"/>
      <c r="W15" s="68" t="n"/>
    </row>
    <row r="16" ht="60" customHeight="1" s="1">
      <c r="A16" s="68" t="n">
        <v>15</v>
      </c>
      <c r="B16" s="70" t="inlineStr">
        <is>
          <t>2023年2月18日</t>
        </is>
      </c>
      <c r="C16" s="68" t="inlineStr">
        <is>
          <t>广州</t>
        </is>
      </c>
      <c r="D16" s="68" t="inlineStr">
        <is>
          <t>移动、联通、电信三家运营商</t>
        </is>
      </c>
      <c r="E16" s="68" t="inlineStr">
        <is>
          <t>通信企业</t>
        </is>
      </c>
      <c r="F16" s="68" t="inlineStr">
        <is>
          <t>外部破坏</t>
        </is>
      </c>
      <c r="G16" s="68" t="inlineStr">
        <is>
          <t>光缆线路</t>
        </is>
      </c>
      <c r="H16" s="68" t="inlineStr">
        <is>
          <t>无</t>
        </is>
      </c>
      <c r="I16" s="69" t="inlineStr">
        <is>
          <t>光缆/链路故障</t>
        </is>
      </c>
      <c r="J16" s="68" t="inlineStr">
        <is>
          <t>广州市黄埔区因道路施工造成光缆故障，移动、联通、电信三家运营商共51条光缆发生中断</t>
        </is>
      </c>
      <c r="K16" s="68" t="inlineStr">
        <is>
          <t>影响国家计算机网络与信息安全管理中心、阿里云、花旗银行、腾讯、淘宝等政企用户57户、家庭用户6373户、移动基站27个</t>
        </is>
      </c>
      <c r="L16" s="68" t="inlineStr">
        <is>
          <t>近24小时</t>
        </is>
      </c>
      <c r="M16" s="68" t="n">
        <v>1440</v>
      </c>
      <c r="N16" s="68" t="n"/>
      <c r="O16" s="68" t="n"/>
      <c r="P16" s="68" t="inlineStr">
        <is>
          <t>中铁七局在广州市开泰大道与开源大道交汇处进行超高压电缆施工时，造成途径该处的三家运营商本地网光缆严重受损。</t>
        </is>
      </c>
      <c r="Q16" s="68" t="n"/>
      <c r="R16" s="68" t="n"/>
      <c r="S16" s="68" t="n"/>
      <c r="T16" s="68" t="n"/>
      <c r="U16" s="68" t="n"/>
      <c r="V16" s="68" t="n"/>
      <c r="W16" s="68" t="n"/>
    </row>
    <row r="17" ht="60" customHeight="1" s="1">
      <c r="A17" s="68" t="n">
        <v>16</v>
      </c>
      <c r="B17" s="70" t="inlineStr">
        <is>
          <t>2023年3月29日</t>
        </is>
      </c>
      <c r="C17" s="68" t="inlineStr">
        <is>
          <t>广州</t>
        </is>
      </c>
      <c r="D17" s="68" t="inlineStr">
        <is>
          <t>腾讯</t>
        </is>
      </c>
      <c r="E17" s="68" t="inlineStr">
        <is>
          <t>互联网企业</t>
        </is>
      </c>
      <c r="F17" s="68" t="inlineStr">
        <is>
          <t>设备设施故障</t>
        </is>
      </c>
      <c r="G17" s="68" t="inlineStr">
        <is>
          <t>暖通</t>
        </is>
      </c>
      <c r="H17" s="68" t="inlineStr">
        <is>
          <t>冗余保护失败</t>
        </is>
      </c>
      <c r="I17" s="69" t="inlineStr">
        <is>
          <t>暖通</t>
        </is>
      </c>
      <c r="J17" s="68" t="inlineStr">
        <is>
          <t>3月29日凌晨，腾讯旗下的微信和QQ等业务曾出现崩溃状况。本次事故由广州电信机房冷却系统故障导致，腾讯将它定义为公司一级事故。</t>
        </is>
      </c>
      <c r="K17" s="68" t="inlineStr">
        <is>
          <t>包括微信语音对话、朋友圈、微信支付，以及QQ文件传输、QQ空间和QQ邮箱在内的多个功能无法使用。</t>
        </is>
      </c>
      <c r="L17" s="68" t="inlineStr">
        <is>
          <t>凌晨2点左右-10:50全部恢复</t>
        </is>
      </c>
      <c r="M17" s="68" t="n">
        <v>530</v>
      </c>
      <c r="N17" s="68" t="n"/>
      <c r="O17" s="68" t="inlineStr">
        <is>
          <t>腾讯定性：一级事故！总办成员遭处罚</t>
        </is>
      </c>
      <c r="P17" s="68" t="inlineStr">
        <is>
          <t>广州电信机房冷却系统故障</t>
        </is>
      </c>
      <c r="Q17" s="68" t="inlineStr">
        <is>
          <t>容灾设计方案和应急预案不完善，有关业务部门的风险防范意识不到位</t>
        </is>
      </c>
      <c r="R17" s="68" t="n"/>
      <c r="S17" s="68" t="n"/>
      <c r="T17" s="68" t="n"/>
      <c r="U17" s="68" t="n"/>
      <c r="V17" s="68" t="n"/>
      <c r="W17" s="68" t="n"/>
    </row>
    <row r="18" ht="72" customHeight="1" s="1">
      <c r="A18" s="68" t="n">
        <v>17</v>
      </c>
      <c r="B18" s="70" t="inlineStr">
        <is>
          <t>2023年6月8日</t>
        </is>
      </c>
      <c r="C18" s="68" t="inlineStr">
        <is>
          <t>广州</t>
        </is>
      </c>
      <c r="D18" s="68" t="inlineStr">
        <is>
          <t>广东电信</t>
        </is>
      </c>
      <c r="E18" s="68" t="inlineStr">
        <is>
          <t>通信企业</t>
        </is>
      </c>
      <c r="F18" s="68" t="inlineStr">
        <is>
          <t>割接调整</t>
        </is>
      </c>
      <c r="G18" s="68" t="inlineStr">
        <is>
          <t>承载数通</t>
        </is>
      </c>
      <c r="H18" s="68" t="inlineStr">
        <is>
          <t>处理不当</t>
        </is>
      </c>
      <c r="I18" s="69" t="inlineStr">
        <is>
          <t>人为操作</t>
        </is>
      </c>
      <c r="J18" s="68" t="inlineStr">
        <is>
          <t>由于集团ICNOC在进行CN2网络承载业务优先级（QoS）配置时下发参数错误，将本应限速为80G的线路误配置为8G，使得LDRA至HDRA之间信令流量被大量丢弃而引起。</t>
        </is>
      </c>
      <c r="K18" s="68" t="inlineStr">
        <is>
          <t>广东省全境4G移动用户语音及短信业务中断，影响约1200万用户</t>
        </is>
      </c>
      <c r="L18" s="68" t="inlineStr">
        <is>
          <t>14时15分至18时06分，历时3小时51分钟</t>
        </is>
      </c>
      <c r="M18" s="68" t="n">
        <v>231</v>
      </c>
      <c r="N18" s="68" t="n"/>
      <c r="O18" s="68" t="inlineStr">
        <is>
          <t>特别重大事故</t>
        </is>
      </c>
      <c r="P18" s="68" t="inlineStr">
        <is>
          <t>操作错误</t>
        </is>
      </c>
      <c r="Q18" s="68" t="inlineStr">
        <is>
          <t>管理体系、管理制度、人员培训、执行能力</t>
        </is>
      </c>
      <c r="R18" s="68" t="n"/>
      <c r="S18" s="68" t="n"/>
      <c r="T18" s="68" t="n"/>
      <c r="U18" s="68" t="n"/>
      <c r="V18" s="68" t="n"/>
      <c r="W18" s="68" t="n"/>
    </row>
    <row r="19" ht="84" customHeight="1" s="1">
      <c r="A19" s="68" t="n">
        <v>18</v>
      </c>
      <c r="B19" s="70" t="inlineStr">
        <is>
          <t>2023年11月22日</t>
        </is>
      </c>
      <c r="C19" s="68" t="n"/>
      <c r="D19" s="68" t="inlineStr">
        <is>
          <t>中国移动</t>
        </is>
      </c>
      <c r="E19" s="68" t="inlineStr">
        <is>
          <t>通信企业</t>
        </is>
      </c>
      <c r="F19" s="68" t="inlineStr">
        <is>
          <t>设备设施故障</t>
        </is>
      </c>
      <c r="G19" s="68" t="inlineStr">
        <is>
          <t>其他</t>
        </is>
      </c>
      <c r="H19" s="68" t="inlineStr">
        <is>
          <t>无</t>
        </is>
      </c>
      <c r="I19" s="69" t="inlineStr">
        <is>
          <t>设备故障（软件）</t>
        </is>
      </c>
      <c r="J19" s="68" t="inlineStr">
        <is>
          <t>中国移动手机恶意软件监测处置与应急响应流程(手机恶意软件集中监测系统)误屏蔽baidu.com</t>
        </is>
      </c>
      <c r="K19" s="68" t="inlineStr">
        <is>
          <t>中国移动多个省份发现通过手机移动网络访问百度网站成功率较低的情况</t>
        </is>
      </c>
      <c r="L19" s="68" t="inlineStr">
        <is>
          <t>2023年11月22日22时10分到23日凌晨4点20分恢复正常。</t>
        </is>
      </c>
      <c r="M19" s="68" t="n">
        <v>370</v>
      </c>
      <c r="N19" s="68" t="n"/>
      <c r="O19" s="68" t="n"/>
      <c r="P19" s="68" t="inlineStr">
        <is>
          <t>手机恶意软件集中监测系统具备一级白名单过滤策略，但针对恶意域名跳转后的二级白名单过滤策略尚不完善，在策略核查过程中缺乏有效手段，影响了封堵策略应急查询和解封时效</t>
        </is>
      </c>
      <c r="Q19" s="68" t="n"/>
      <c r="R19" s="68" t="n"/>
      <c r="S19" s="68" t="n"/>
      <c r="T19" s="68" t="n"/>
      <c r="U19" s="68" t="n"/>
      <c r="V19" s="68" t="n"/>
      <c r="W19" s="68" t="n"/>
    </row>
    <row r="20" ht="60" customHeight="1" s="1">
      <c r="A20" s="68" t="n">
        <v>19</v>
      </c>
      <c r="B20" s="70" t="inlineStr">
        <is>
          <t>2023年11月27日</t>
        </is>
      </c>
      <c r="C20" s="68" t="n"/>
      <c r="D20" s="68" t="inlineStr">
        <is>
          <t>阿里云</t>
        </is>
      </c>
      <c r="E20" s="68" t="inlineStr">
        <is>
          <t>互联网企业</t>
        </is>
      </c>
      <c r="F20" s="68" t="inlineStr">
        <is>
          <t>设备设施故障</t>
        </is>
      </c>
      <c r="G20" s="68" t="inlineStr">
        <is>
          <t>数据库</t>
        </is>
      </c>
      <c r="H20" s="68" t="inlineStr">
        <is>
          <t>无</t>
        </is>
      </c>
      <c r="I20" s="69" t="inlineStr">
        <is>
          <t>设备故障（软件）</t>
        </is>
      </c>
      <c r="J20" s="68" t="inlineStr">
        <is>
          <t>11月27日9时16分起，数据库控制台及管控OpenAPI使用异常</t>
        </is>
      </c>
      <c r="K20" s="68" t="inlineStr">
        <is>
          <t>北京、上海、杭州、深圳、青岛地域的数据库产品（RDS、PolarDB、Redis等）的控制台和OpenAPI访问异常</t>
        </is>
      </c>
      <c r="L20" s="68" t="inlineStr">
        <is>
          <t>9:16-，1小时42分</t>
        </is>
      </c>
      <c r="M20" s="68" t="n">
        <v>102</v>
      </c>
      <c r="N20" s="68" t="n"/>
      <c r="O20" s="68" t="n"/>
      <c r="P20" s="68" t="inlineStr">
        <is>
          <t>管控元数据库负载过高</t>
        </is>
      </c>
      <c r="Q20" s="68" t="n"/>
      <c r="R20" s="68" t="n"/>
      <c r="S20" s="68" t="n"/>
      <c r="T20" s="68" t="n"/>
      <c r="U20" s="68" t="n"/>
      <c r="V20" s="68" t="n"/>
      <c r="W20" s="68" t="n"/>
    </row>
    <row r="21" ht="96" customHeight="1" s="1">
      <c r="A21" s="68" t="n">
        <v>20</v>
      </c>
      <c r="B21" s="70" t="inlineStr">
        <is>
          <t>2023年11月27日</t>
        </is>
      </c>
      <c r="C21" s="68" t="n"/>
      <c r="D21" s="68" t="inlineStr">
        <is>
          <t>滴滴出行（腾讯）</t>
        </is>
      </c>
      <c r="E21" s="68" t="inlineStr">
        <is>
          <t>互联网企业</t>
        </is>
      </c>
      <c r="F21" s="68" t="inlineStr">
        <is>
          <t>人员误操作（日常维护）</t>
        </is>
      </c>
      <c r="G21" s="68" t="inlineStr">
        <is>
          <t>云平台</t>
        </is>
      </c>
      <c r="H21" s="68" t="inlineStr">
        <is>
          <t>冗余保护失败</t>
        </is>
      </c>
      <c r="I21" s="69" t="inlineStr">
        <is>
          <t>人为操作</t>
        </is>
      </c>
      <c r="J21" s="68" t="inlineStr">
        <is>
          <t>在广州永顺机房进行软件管理平台变更操作时触发容器故障，切换至备用机房容量受限</t>
        </is>
      </c>
      <c r="K21" s="68" t="inlineStr">
        <is>
          <t>滴滴旗下网约车、充电加油、共享（电）单车等服务无法使用；代驾主App和小程序无法使用；滴滴支付40%流量受到影响，营销优惠无法使用；信贷业务20%流量受到影响；货运司机无法结束订单。</t>
        </is>
      </c>
      <c r="L21" s="68" t="inlineStr">
        <is>
          <t>27日22：15许至28日12时左右</t>
        </is>
      </c>
      <c r="M21" s="68" t="n">
        <v>105</v>
      </c>
      <c r="N21" s="68" t="n"/>
      <c r="O21" s="68" t="n"/>
      <c r="P21" s="68" t="inlineStr">
        <is>
          <t>在广州永顺机房进行软件管理平台变更操作时触发容器故障，</t>
        </is>
      </c>
      <c r="Q21" s="68" t="inlineStr">
        <is>
          <t>切换至备用机房容量受限（公有云弹性容量未生效）</t>
        </is>
      </c>
      <c r="R21" s="68" t="inlineStr">
        <is>
          <t>没有完全模拟单机房故障的情况</t>
        </is>
      </c>
      <c r="S21" s="68" t="n"/>
      <c r="T21" s="68" t="n"/>
      <c r="U21" s="68" t="n"/>
      <c r="V21" s="68" t="n"/>
      <c r="W21" s="68" t="n"/>
    </row>
    <row r="22" ht="98.15000000000001" customFormat="1" customHeight="1" s="6">
      <c r="A22" s="68" t="n">
        <v>21</v>
      </c>
      <c r="B22" s="70" t="inlineStr">
        <is>
          <t>2024年4月8日</t>
        </is>
      </c>
      <c r="C22" s="68" t="inlineStr">
        <is>
          <t>全网</t>
        </is>
      </c>
      <c r="D22" s="68" t="inlineStr">
        <is>
          <t>腾讯云</t>
        </is>
      </c>
      <c r="E22" s="68" t="inlineStr">
        <is>
          <t>互联网企业</t>
        </is>
      </c>
      <c r="F22" s="68" t="inlineStr">
        <is>
          <t>人员误操作（割接调整）</t>
        </is>
      </c>
      <c r="G22" s="68" t="inlineStr">
        <is>
          <t>云平台</t>
        </is>
      </c>
      <c r="H22" s="68" t="inlineStr">
        <is>
          <t>冗余保护失败</t>
        </is>
      </c>
      <c r="I22" s="69" t="inlineStr">
        <is>
          <t>云服务</t>
        </is>
      </c>
      <c r="J22" s="71" t="inlineStr">
        <is>
          <t>系统变更操作不当</t>
        </is>
      </c>
      <c r="K22" s="68" t="inlineStr">
        <is>
          <t>4月8日15：23开始，腾讯云团队收到告警，云API服务异常，导致客户无法登陆腾讯云控制台。云函数、文字识别、为服务平台、音频内容安全、验证码登依赖云API的公有云服务，实体运行不受影响</t>
        </is>
      </c>
      <c r="L22" s="68" t="n"/>
      <c r="M22" s="68" t="n"/>
      <c r="N22" s="68" t="n"/>
      <c r="O22" s="68" t="n"/>
      <c r="P22" s="68" t="inlineStr">
        <is>
          <t>故障发生后，按照标准回滚方案将服务后台和配置数据同时回滚到旧版本，并重启API后台服务，但此时因为承载API服务的容器平台也依赖API服务才能提供调度能力，即发生了循环依赖，导致服务无法自动拉齐。通过运维手工启动方式才使API服务重启，完成整个故障恢复。</t>
        </is>
      </c>
      <c r="Q22" s="68" t="inlineStr">
        <is>
          <t>在版本变更过程中，没有有效执行沙箱验证和预案演练</t>
        </is>
      </c>
      <c r="R22" s="68" t="inlineStr">
        <is>
          <t>状态页面更新不及时，逻辑有问题。官方通报偷换概念“控制台/控制面”</t>
        </is>
      </c>
      <c r="S22" s="68" t="n"/>
      <c r="T22" s="68" t="n"/>
      <c r="U22" s="68" t="n"/>
      <c r="V22" s="68" t="n"/>
      <c r="W22" s="68" t="n"/>
    </row>
    <row r="23" ht="86.25" customFormat="1" customHeight="1" s="7">
      <c r="A23" s="68" t="n">
        <v>22</v>
      </c>
      <c r="B23" s="70" t="inlineStr">
        <is>
          <t>2024年4月26日</t>
        </is>
      </c>
      <c r="C23" s="68" t="inlineStr">
        <is>
          <t>北京</t>
        </is>
      </c>
      <c r="D23" s="68" t="inlineStr">
        <is>
          <t>北京联通&amp;北京移动</t>
        </is>
      </c>
      <c r="E23" s="68" t="inlineStr">
        <is>
          <t>通信企业</t>
        </is>
      </c>
      <c r="F23" s="68" t="inlineStr">
        <is>
          <t>设备设施故障</t>
        </is>
      </c>
      <c r="G23" s="68" t="inlineStr">
        <is>
          <t>光缆线路</t>
        </is>
      </c>
      <c r="H23" s="68" t="inlineStr">
        <is>
          <t>冗余保护失败</t>
        </is>
      </c>
      <c r="I23" s="69" t="inlineStr">
        <is>
          <t>光缆/链路故障</t>
        </is>
      </c>
      <c r="J23" s="68" t="inlineStr">
        <is>
          <t>北京联通与北京移动IMS（IP多媒体子系统）网间互联链路中断</t>
        </is>
      </c>
      <c r="K23" s="68" t="inlineStr">
        <is>
          <t>，导致两公司之间部分4G、5G手机和固网IMS用户（含被叫为北京联通、北京移动的中国移动、中国联通外省跨网主叫用户）语音通话出现双向无声现象</t>
        </is>
      </c>
      <c r="L23" s="68" t="inlineStr">
        <is>
          <t>10:10-12:00，历时1小时50分</t>
        </is>
      </c>
      <c r="M23" s="68" t="n">
        <v>110</v>
      </c>
      <c r="N23" s="68" t="n"/>
      <c r="O23" s="68" t="inlineStr">
        <is>
          <t>重大事故</t>
        </is>
      </c>
      <c r="P23" s="68" t="n"/>
      <c r="Q23" s="68" t="n"/>
      <c r="R23" s="68" t="n"/>
      <c r="S23" s="68" t="n"/>
      <c r="T23" s="68" t="n"/>
      <c r="U23" s="68" t="n"/>
      <c r="V23" s="68" t="n"/>
      <c r="W23" s="68" t="n"/>
    </row>
    <row r="24" ht="48" customHeight="1" s="1" thickBot="1">
      <c r="A24" s="68" t="n">
        <v>23</v>
      </c>
      <c r="B24" s="70" t="inlineStr">
        <is>
          <t>2024年8月26日</t>
        </is>
      </c>
      <c r="C24" s="68" t="inlineStr">
        <is>
          <t>上海</t>
        </is>
      </c>
      <c r="D24" s="68" t="inlineStr">
        <is>
          <t>上海电信</t>
        </is>
      </c>
      <c r="E24" s="68" t="inlineStr">
        <is>
          <t>通信企业</t>
        </is>
      </c>
      <c r="F24" s="68" t="inlineStr">
        <is>
          <t>设备设施故障</t>
        </is>
      </c>
      <c r="G24" s="68" t="inlineStr">
        <is>
          <t>承载数通</t>
        </is>
      </c>
      <c r="H24" s="68" t="inlineStr">
        <is>
          <t>无</t>
        </is>
      </c>
      <c r="I24" s="69" t="inlineStr">
        <is>
          <t>设备故障（软件）</t>
        </is>
      </c>
      <c r="J24" s="68" t="inlineStr">
        <is>
          <t>2024年8月26日17时30分，中国电信上海公司城域网设备双链路同时故障，备份链路失效，导致云宽带业务平台全面中断。</t>
        </is>
      </c>
      <c r="K24" s="68" t="inlineStr">
        <is>
          <t>影响范围覆盖上海市十六区中半数以上，实际影响宽带用户数为28.5万户。移动及语音业务架构独立未受波及。</t>
        </is>
      </c>
      <c r="L24" s="68" t="inlineStr">
        <is>
          <t>事故持续时长为35分钟，平均业务影响时间9.7分钟。</t>
        </is>
      </c>
      <c r="M24" s="68" t="n">
        <v>35</v>
      </c>
      <c r="N24" s="68" t="n"/>
      <c r="O24" s="68" t="inlineStr">
        <is>
          <t>较大事故</t>
        </is>
      </c>
      <c r="P24" s="68" t="inlineStr">
        <is>
          <t>上海电信新型城域网上的中兴公司CP设备存在设计缺陷</t>
        </is>
      </c>
      <c r="Q24" s="68" t="n"/>
      <c r="R24" s="68" t="n"/>
      <c r="S24" s="68" t="n"/>
      <c r="T24" s="68" t="n"/>
      <c r="U24" s="68" t="n"/>
      <c r="V24" s="68" t="n"/>
      <c r="W24" s="68" t="n"/>
    </row>
    <row r="25" ht="60" customHeight="1" s="1">
      <c r="A25" s="68" t="n">
        <v>24</v>
      </c>
      <c r="B25" s="70" t="inlineStr">
        <is>
          <t>2025年6月6日</t>
        </is>
      </c>
      <c r="C25" s="68" t="n"/>
      <c r="D25" s="68" t="inlineStr">
        <is>
          <t>阿里云</t>
        </is>
      </c>
      <c r="E25" s="68" t="inlineStr">
        <is>
          <t>互联网企业</t>
        </is>
      </c>
      <c r="F25" s="68" t="inlineStr">
        <is>
          <t>外部破坏</t>
        </is>
      </c>
      <c r="G25" s="68" t="inlineStr">
        <is>
          <t>DNS</t>
        </is>
      </c>
      <c r="H25" s="68" t="n"/>
      <c r="I25" s="69" t="n"/>
      <c r="J25" s="68" t="inlineStr">
        <is>
          <t>aliyuncs.com根域名解析异常，被错误指向sinkhole.shadowserver.org。‌‌</t>
        </is>
      </c>
      <c r="K25" s="68" t="inlineStr">
        <is>
          <t>对象存储OSS、CDN、容器镜像服务ACR、云解析DNS等核心服务中断，波及依赖阿里云服务的第三方系统（如博客园）</t>
        </is>
      </c>
      <c r="L25" s="68" t="inlineStr">
        <is>
          <t>2:57-8:40</t>
        </is>
      </c>
      <c r="M25" s="68">
        <f>5*60+43</f>
        <v/>
      </c>
      <c r="N25" s="68" t="n"/>
      <c r="O25" s="68" t="n"/>
      <c r="P25" s="68" t="n"/>
      <c r="Q25" s="68" t="n"/>
      <c r="R25" s="68" t="n"/>
      <c r="S25" s="68" t="n"/>
      <c r="T25" s="68" t="n"/>
      <c r="U25" s="68" t="n"/>
      <c r="V25" s="68" t="n"/>
      <c r="W25" s="68" t="n"/>
    </row>
    <row r="26" ht="204" customHeight="1" s="1">
      <c r="A26" s="68" t="n">
        <v>25</v>
      </c>
      <c r="B26" s="70" t="inlineStr">
        <is>
          <t>2025年8月5日</t>
        </is>
      </c>
      <c r="C26" s="68" t="n"/>
      <c r="D26" s="68" t="inlineStr">
        <is>
          <t>网易</t>
        </is>
      </c>
      <c r="E26" s="68" t="inlineStr">
        <is>
          <t>互联网企业</t>
        </is>
      </c>
      <c r="F26" s="68" t="inlineStr">
        <is>
          <t>设备设施故障</t>
        </is>
      </c>
      <c r="G26" s="68" t="inlineStr">
        <is>
          <t>承载数通</t>
        </is>
      </c>
      <c r="H26" s="68" t="inlineStr">
        <is>
          <t>冗余保护失败</t>
        </is>
      </c>
      <c r="I26" s="69" t="n"/>
      <c r="J26" s="68" t="inlineStr">
        <is>
          <t>8月5日下午，多位玩家与员工反馈网易出现大范围服务异常，引发广泛关注。网易随后通过内部公告证实，原因系“机房网络故障”，已影响 POPO 的云空间、任务、工作台、开放平台等多个模块。网易在公告中写道：“由于机房网络故障，导致 POPO 部分服务异常，目前运维团队正在紧急处理中。”内部员工表示：“主要是宕机面积太大了，排查起来难度非常大，光服务器重启就得半天。”</t>
        </is>
      </c>
      <c r="K26" s="68" t="inlineStr">
        <is>
          <t>1、游戏服务：至少10款热门游戏瘫痪，包括《第五人格》《阴阳师》《哈利波特：魔法觉醒》等，玩家无法登录或遭强制下线，波及超**2000万**日活用户。  
2、经济损失：故障持续超6小时，估算单日流水损失超**1亿元**，且补偿道具（如《第五人格》发放高价值竞技道具）进一步增加成本。  
3、舆情危机：微博话题#网易游戏全崩了#阅读量破亿，玩家嘲讽官方公告“无登录异常”为“鞭尸式公关”，竞品借机营销。</t>
        </is>
      </c>
      <c r="L26" s="68" t="inlineStr">
        <is>
          <t>超过2小时</t>
        </is>
      </c>
      <c r="M26" s="68" t="n">
        <v>120</v>
      </c>
      <c r="N26" s="68" t="n"/>
      <c r="O26" s="68" t="n"/>
      <c r="P26" s="68" t="inlineStr">
        <is>
          <t>1. 网易自建数据中心：承担核心游戏业务（如《逆水寒》《阴阳师》），但广州机房集中化部署缺乏异地多活能力，成为系统性风险源头。</t>
        </is>
      </c>
      <c r="Q26" s="68" t="n">
        <v>9</v>
      </c>
      <c r="R26" s="68" t="n"/>
      <c r="S26" s="68" t="n"/>
      <c r="T26" s="68" t="n"/>
      <c r="U26" s="68" t="n"/>
      <c r="V26" s="68" t="inlineStr">
        <is>
          <t>https://mp.weixin.qq.com/s/FlKvxwvdn8H13iCRD_2qiA</t>
        </is>
      </c>
      <c r="W26" s="68" t="n"/>
    </row>
    <row r="27" ht="86.25" customFormat="1" customHeight="1" s="7">
      <c r="A27" s="68" t="n">
        <v>26</v>
      </c>
      <c r="B27" s="70" t="inlineStr">
        <is>
          <t>2025年8月11日</t>
        </is>
      </c>
      <c r="C27" s="68" t="inlineStr">
        <is>
          <t>上海</t>
        </is>
      </c>
      <c r="D27" s="68" t="inlineStr">
        <is>
          <t>上海电信</t>
        </is>
      </c>
      <c r="E27" s="68" t="inlineStr">
        <is>
          <t>通信企业</t>
        </is>
      </c>
      <c r="F27" s="68" t="inlineStr">
        <is>
          <t>设备设施故障</t>
        </is>
      </c>
      <c r="G27" s="68" t="inlineStr">
        <is>
          <t>电源（其他)</t>
        </is>
      </c>
      <c r="H27" s="68" t="inlineStr">
        <is>
          <t>冗余保护失败</t>
        </is>
      </c>
      <c r="I27" s="69" t="n"/>
      <c r="J27" s="68" t="inlineStr">
        <is>
          <t>2024年8月11日，中国电信上海公司（上海电信）云平台机房因供电系统故障</t>
        </is>
      </c>
      <c r="K27" s="68" t="inlineStr">
        <is>
          <t>全市医院无法进行线上医保结算，只能启用线下自费模式。</t>
        </is>
      </c>
      <c r="L27" s="68" t="inlineStr">
        <is>
          <t>医保系统15分钟切换，11点-下午5点恢复</t>
        </is>
      </c>
      <c r="M27" s="68">
        <f>6*60</f>
        <v/>
      </c>
      <c r="N27" s="68" t="n"/>
      <c r="O27" s="68" t="n"/>
      <c r="P27" s="68" t="inlineStr">
        <is>
          <t>供电系统故障</t>
        </is>
      </c>
      <c r="Q27" s="68" t="n"/>
      <c r="R27" s="68" t="n"/>
      <c r="S27" s="68" t="n"/>
      <c r="T27" s="68" t="n"/>
      <c r="U27" s="68" t="n"/>
      <c r="V27" s="68" t="n"/>
      <c r="W27" s="68" t="n"/>
    </row>
    <row r="28" ht="72" customHeight="1" s="1">
      <c r="A28" s="68" t="n">
        <v>27</v>
      </c>
      <c r="B28" s="70" t="inlineStr">
        <is>
          <t>2026年5月18日</t>
        </is>
      </c>
      <c r="C28" s="68" t="inlineStr">
        <is>
          <t>湖南省常德市石门县（所市镇、壶瓶山镇、罗坪乡、雁池乡、南北镇）</t>
        </is>
      </c>
      <c r="D28" s="68" t="inlineStr">
        <is>
          <t>中国电信股份有限公司常德分公司</t>
        </is>
      </c>
      <c r="E28" s="68" t="inlineStr">
        <is>
          <t>通信企业</t>
        </is>
      </c>
      <c r="F28" s="68" t="inlineStr">
        <is>
          <t>外部环境-自然灾害</t>
        </is>
      </c>
      <c r="G28" s="68" t="inlineStr">
        <is>
          <t>光缆线路</t>
        </is>
      </c>
      <c r="H28" s="68" t="inlineStr">
        <is>
          <t>设备断电</t>
        </is>
      </c>
      <c r="I28" s="69" t="n"/>
      <c r="J28" s="68" t="inlineStr">
        <is>
          <t>5月18日凌晨石门县遭遇强降雨，壶瓶山镇降水量达165毫米，发布暴雨红色预警并启动防汛2级响应。上午6:50左右，石门县西北区域因暴雨引发网络故障，五个乡镇移动通信及宽带服务全部中断。同日山洪暴发，水位涨高近20米，部分临河房屋淹至两三层，已转移群众1.6万余人。</t>
        </is>
      </c>
      <c r="K28" s="68" t="inlineStr">
        <is>
          <t>石门县西北5个乡镇全域移动通信及宽带中断，数万用户受影响，1.6万余人紧急转移</t>
        </is>
      </c>
      <c r="L28" s="68" t="inlineStr">
        <is>
          <t>抢修中，恢复时间未公布</t>
        </is>
      </c>
      <c r="M28" s="68" t="n">
        <v>67</v>
      </c>
      <c r="N28" s="68" t="n"/>
      <c r="O28" s="68" t="n"/>
      <c r="P28" s="68" t="inlineStr">
        <is>
          <t>极端暴雨引发山洪，光缆线路冲毁</t>
        </is>
      </c>
      <c r="Q28" s="68" t="inlineStr">
        <is>
          <t>洪水导致大面积停电，通信设备断电</t>
        </is>
      </c>
      <c r="R28" s="68" t="inlineStr">
        <is>
          <t>受灾区域地形复杂，抢修难度大</t>
        </is>
      </c>
      <c r="S28" s="68" t="n"/>
      <c r="T28" s="68" t="n"/>
      <c r="U28" s="68" t="n"/>
      <c r="V28" s="68" t="n"/>
      <c r="W28" s="68" t="n"/>
    </row>
    <row r="29" ht="60" customHeight="1" s="1">
      <c r="A29" s="68" t="n"/>
      <c r="B29" s="70" t="inlineStr">
        <is>
          <t>2025年8月13日</t>
        </is>
      </c>
      <c r="C29" s="68" t="inlineStr">
        <is>
          <t>北京</t>
        </is>
      </c>
      <c r="D29" s="68" t="inlineStr">
        <is>
          <t>北京移动</t>
        </is>
      </c>
      <c r="E29" s="68" t="inlineStr">
        <is>
          <t>通信企业</t>
        </is>
      </c>
      <c r="F29" s="68" t="inlineStr">
        <is>
          <t>割接调整</t>
        </is>
      </c>
      <c r="G29" s="68" t="inlineStr">
        <is>
          <t>承载数通</t>
        </is>
      </c>
      <c r="H29" s="68" t="n"/>
      <c r="I29" s="69" t="n"/>
      <c r="J29" s="68" t="inlineStr">
        <is>
          <t>北京移动进行城域网设备替换期间出现故障（脚本错误），错误的将部分IPV4地址段指向特殊部门网络设备，造成数据包丢失。</t>
        </is>
      </c>
      <c r="K29" s="68" t="inlineStr">
        <is>
          <t>导致部分北京移动手机用户无法访问阿里云、华为云及多个手机APP或网站</t>
        </is>
      </c>
      <c r="L29" s="68" t="inlineStr">
        <is>
          <t>0:44-10:03</t>
        </is>
      </c>
      <c r="M29" s="68">
        <f>16+60*9+3</f>
        <v/>
      </c>
      <c r="N29" s="68" t="n"/>
      <c r="O29" s="68" t="n"/>
      <c r="P29" s="68" t="n"/>
      <c r="Q29" s="68" t="n"/>
      <c r="R29" s="68" t="n"/>
      <c r="S29" s="68" t="n"/>
      <c r="T29" s="68" t="n"/>
      <c r="U29" s="68" t="n"/>
      <c r="V29" s="68" t="inlineStr">
        <is>
          <t>北京移动10086账号于10时许发表官方情况说明并致歉。</t>
        </is>
      </c>
      <c r="W29" s="68" t="n"/>
    </row>
    <row r="30" ht="60" customHeight="1" s="1">
      <c r="A30" s="68" t="n"/>
      <c r="B30" s="70" t="inlineStr">
        <is>
          <t>2025年11月13日</t>
        </is>
      </c>
      <c r="C30" s="68" t="inlineStr">
        <is>
          <t>青海</t>
        </is>
      </c>
      <c r="D30" s="68" t="inlineStr">
        <is>
          <t>青海联通</t>
        </is>
      </c>
      <c r="E30" s="68" t="inlineStr">
        <is>
          <t>通信企业</t>
        </is>
      </c>
      <c r="F30" s="68" t="n"/>
      <c r="G30" s="68" t="n"/>
      <c r="H30" s="68" t="n"/>
      <c r="I30" s="69" t="n"/>
      <c r="J30" s="68" t="inlineStr">
        <is>
          <t>下午开始，全省多地联通用户反映手机信号突然中断，出现“无服务”状态，4/5G通话、短信、移动数据功能瘫痪</t>
        </is>
      </c>
      <c r="K30" s="68" t="inlineStr">
        <is>
          <t>全省联通用户手机无信号</t>
        </is>
      </c>
      <c r="L30" s="72" t="inlineStr">
        <is>
          <t>下午-20:24:00</t>
        </is>
      </c>
      <c r="M30" s="68" t="n"/>
      <c r="N30" s="68" t="n"/>
      <c r="O30" s="68" t="n"/>
      <c r="P30" s="68" t="n"/>
      <c r="Q30" s="68" t="n"/>
      <c r="R30" s="68" t="n"/>
      <c r="S30" s="68" t="n"/>
      <c r="T30" s="68" t="n"/>
      <c r="U30" s="68" t="n"/>
      <c r="V30" s="68" t="n"/>
      <c r="W30" s="68" t="n"/>
    </row>
    <row r="31" ht="72" customHeight="1" s="1">
      <c r="A31" s="68" t="n"/>
      <c r="B31" s="70" t="inlineStr">
        <is>
          <t>2026年3月31日</t>
        </is>
      </c>
      <c r="C31" s="68" t="inlineStr">
        <is>
          <t>上海</t>
        </is>
      </c>
      <c r="D31" s="68" t="inlineStr">
        <is>
          <t>上海电信</t>
        </is>
      </c>
      <c r="E31" s="68" t="inlineStr">
        <is>
          <t>通信企业</t>
        </is>
      </c>
      <c r="F31" s="68" t="inlineStr">
        <is>
          <t>割接调整</t>
        </is>
      </c>
      <c r="G31" s="68" t="inlineStr">
        <is>
          <t>承载数通</t>
        </is>
      </c>
      <c r="H31" s="68" t="inlineStr">
        <is>
          <t>冗余保护失败</t>
        </is>
      </c>
      <c r="I31" s="69" t="n"/>
      <c r="J31" s="68" t="inlineStr">
        <is>
          <t>26年3月31日凌晨，上海电信突发大范围网络故障，宝山、浦东、静安等多个行政区先后陷入网络中断状态</t>
        </is>
      </c>
      <c r="K31" s="68" t="inlineStr">
        <is>
          <t>上海电信于3月26日提前发布《网络升级公告》，计划3月30日-4月3日每日凌晨1:00-5:00分批次升级- 公告预计每次影响约10-20分钟，仅涉及宽带接入、IPTV、光网电话。但实际影响远超预估波及宽带、手机信号、App/小程序访问，甚至10000号客服系统同步瘫痪</t>
        </is>
      </c>
      <c r="L31" s="68" t="inlineStr">
        <is>
          <t>0:38-0:58</t>
        </is>
      </c>
      <c r="M31" s="68" t="n">
        <v>40</v>
      </c>
      <c r="N31" s="68" t="n"/>
      <c r="O31" s="68" t="n"/>
      <c r="P31" s="68" t="inlineStr">
        <is>
          <t>疑似割接调整导致。初步判断问题出在承载数通网络。</t>
        </is>
      </c>
      <c r="Q31" s="68" t="n"/>
      <c r="R31" s="68" t="n"/>
      <c r="S31" s="68" t="n"/>
      <c r="T31" s="68" t="n"/>
      <c r="U31" s="68" t="inlineStr">
        <is>
          <t>【待更新】故障具体技术原因及运营商应对措施未披露；事故基本情况仅49字，信息不完整</t>
        </is>
      </c>
      <c r="V31" s="73" t="inlineStr">
        <is>
          <t>https://mp.weixin.qq.com/s/jh3CMWdwMFko4hSLM2xw0w?click_id=1</t>
        </is>
      </c>
      <c r="W31" s="68" t="n"/>
    </row>
    <row r="32" ht="24" customHeight="1" s="1">
      <c r="A32" s="68" t="n">
        <v>28</v>
      </c>
      <c r="B32" s="70" t="inlineStr">
        <is>
          <t>2026年5月23日</t>
        </is>
      </c>
      <c r="C32" s="68" t="inlineStr">
        <is>
          <t>重庆市</t>
        </is>
      </c>
      <c r="D32" s="68" t="inlineStr">
        <is>
          <t>重庆移动、重庆电信、重庆联通、重庆铁塔</t>
        </is>
      </c>
      <c r="E32" s="68" t="inlineStr">
        <is>
          <t>通信企业</t>
        </is>
      </c>
      <c r="F32" s="68" t="inlineStr">
        <is>
          <t>外部环境-自然灾害</t>
        </is>
      </c>
      <c r="G32" s="68" t="inlineStr">
        <is>
          <t>光缆线路</t>
        </is>
      </c>
      <c r="H32" s="68" t="inlineStr">
        <is>
          <t>设备断电</t>
        </is>
      </c>
      <c r="I32" s="69" t="n"/>
      <c r="J32" s="68" t="inlineStr">
        <is>
          <t>5月23日夜间至24日凌晨，重庆綦江、永川、云阳、忠县、石柱等地遭遇极端特大暴雨，永川茶山竹海最大降雨量296.6毫米、小时雨量103.6毫米。暴雨引发山洪和山体滑坡，导致全网累计超1200个基站停电、超400个基站退服，多处光缆断裂。重庆移动出动超300人、534台应急油机、卫星电话等设备全力抢修。</t>
        </is>
      </c>
      <c r="K32" s="68" t="inlineStr">
        <is>
          <t>綦江、永川、云阳、忠县、石柱等多个区县移动通信和宽带服务中断，约2.5万用户受影响。</t>
        </is>
      </c>
      <c r="L32" s="68" t="inlineStr">
        <is>
          <t>5月23日23时-5月25日10时（基本恢复通信）</t>
        </is>
      </c>
      <c r="M32" s="68" t="n">
        <v>2100</v>
      </c>
      <c r="N32" s="68" t="n">
        <v>25000</v>
      </c>
      <c r="O32" s="68" t="n"/>
      <c r="P32" s="68" t="inlineStr">
        <is>
          <t>极端暴雨引发山洪，光缆线路冲毁</t>
        </is>
      </c>
      <c r="Q32" s="68" t="inlineStr">
        <is>
          <t>洪水导致大面积停电，通信设备断电</t>
        </is>
      </c>
      <c r="R32" s="68" t="inlineStr">
        <is>
          <t>山体滑坡加剧光缆抢修难度</t>
        </is>
      </c>
      <c r="S32" s="68" t="n"/>
      <c r="T32" s="68" t="n"/>
      <c r="U32" s="68" t="n"/>
      <c r="V32" s="68" t="n"/>
      <c r="W32" s="68" t="n"/>
    </row>
    <row r="33" ht="260" customHeight="1" s="1">
      <c r="A33" s="68" t="n">
        <v>29</v>
      </c>
      <c r="B33" s="70" t="inlineStr">
        <is>
          <t>2026年5月31日</t>
        </is>
      </c>
      <c r="C33" s="68" t="inlineStr">
        <is>
          <t>吉林省、黑龙江省</t>
        </is>
      </c>
      <c r="D33" s="68" t="inlineStr">
        <is>
          <t>吉林联通/移动/电信/铁塔、黑龙江联通/移动/电信/铁塔</t>
        </is>
      </c>
      <c r="E33" s="68" t="inlineStr">
        <is>
          <t>通信企业</t>
        </is>
      </c>
      <c r="F33" s="68" t="inlineStr">
        <is>
          <t>外部环境-自然灾害</t>
        </is>
      </c>
      <c r="G33" s="68" t="inlineStr">
        <is>
          <t>光缆线路</t>
        </is>
      </c>
      <c r="H33" s="68" t="inlineStr">
        <is>
          <t>设备断电</t>
        </is>
      </c>
      <c r="I33" s="69" t="n"/>
      <c r="J33" s="68" t="inlineStr">
        <is>
          <t>5月31日下午起，吉林松原、黑龙江哈尔滨/绥化/齐齐哈尔/大庆/黑河/伊春等多地遭遇12-13级极端雷暴大风（松原瞬时最大37.3m/s），引发大范围电网停电，大量基站断电退服。吉林松原334个基站退服，6月1日10时基本恢复，投入395人次、车辆148台、油机520台。黑龙江全省退服基站超1.3万个：联通恢复7718个、OLT恢复3728个，投入1000余人；移动恢复逻辑基站1948个，投入802人次、油机1244台；电信恢复1368个，抢通光缆26段；铁塔恢复2764个，2个乡镇全阻清零。全行业投入4885+人次、油机4370+台。</t>
        </is>
      </c>
      <c r="K33" s="68" t="inlineStr">
        <is>
          <t>吉林松原全域通信受阻；黑龙江哈尔滨/大庆/绥化/黑河/伊春等多城市移动通信和宽带中断，数十万用户受影响，2个乡镇一度沦为通信孤岛。</t>
        </is>
      </c>
      <c r="L33" s="68" t="inlineStr">
        <is>
          <t>5月31日14时-6月3日（黑龙江核心城区恢复通信，收尾修复持续）</t>
        </is>
      </c>
      <c r="M33" s="68" t="n">
        <v>2400</v>
      </c>
      <c r="N33" s="68" t="n"/>
      <c r="O33" s="68" t="n"/>
      <c r="P33" s="68" t="inlineStr">
        <is>
          <t>极端雷暴大风致大范围电网停电，基站断电退服</t>
        </is>
      </c>
      <c r="Q33" s="68" t="inlineStr">
        <is>
          <t>基站分布广、受灾面积大，部分乡镇道路受阻增加抢修难度</t>
        </is>
      </c>
      <c r="R33" s="68" t="inlineStr">
        <is>
          <t>铁塔跨地市调度油机和人员驰援重灾区</t>
        </is>
      </c>
      <c r="S33" s="68" t="n"/>
      <c r="T33" s="68" t="n"/>
      <c r="U33" s="68" t="n"/>
      <c r="V33" s="68" t="n"/>
      <c r="W33" s="68" t="n"/>
    </row>
    <row r="34" ht="286" customHeight="1" s="1">
      <c r="A34" s="68" t="n">
        <v>30</v>
      </c>
      <c r="B34" s="70" t="inlineStr">
        <is>
          <t>2026年6月4日</t>
        </is>
      </c>
      <c r="C34" s="68" t="inlineStr">
        <is>
          <t>贵州省</t>
        </is>
      </c>
      <c r="D34" s="68" t="inlineStr">
        <is>
          <t>贵州电信/移动/联通/铁塔</t>
        </is>
      </c>
      <c r="E34" s="68" t="inlineStr">
        <is>
          <t>通信企业</t>
        </is>
      </c>
      <c r="F34" s="68" t="inlineStr">
        <is>
          <t>外部环境-自然灾害</t>
        </is>
      </c>
      <c r="G34" s="68" t="inlineStr">
        <is>
          <t>光缆线路</t>
        </is>
      </c>
      <c r="H34" s="68" t="inlineStr">
        <is>
          <t>设备断电</t>
        </is>
      </c>
      <c r="I34" s="69" t="n"/>
      <c r="J34" s="68" t="inlineStr">
        <is>
          <t>6月4日起，贵州多地持续强降雨，黔南州罗甸县、长顺县受灾最重。道路和市电中断致罗甸县178个、长顺县351个基站退服（合计529个）。省通管局启动防汛四级应急响应，四大运营商联合抢修。省应急厅调派无人直升机覆盖凤亭乡、代化镇等灾区（接入540人次）。6月7日在长顺县代化镇首次实现5G异网漫游实战——贵州移动开通异网漫游功能，电信/联通用户1小时内通过移动5G网络恢复通信，累计837次跨网接入。工信部评价为国家应急通信资源共享标志性应用。截至6月9日12时灾区通信全面恢复至灾前水平。累计投入4,838人次、车辆2,088台、油机4,425台。</t>
        </is>
      </c>
      <c r="K34" s="68" t="n"/>
      <c r="L34" s="68" t="inlineStr">
        <is>
          <t>6月4日-6月9日12时</t>
        </is>
      </c>
      <c r="M34" s="68" t="n">
        <v>7380</v>
      </c>
      <c r="N34" s="68" t="n"/>
      <c r="O34" s="68" t="n"/>
      <c r="P34" s="68" t="n"/>
      <c r="Q34" s="68" t="n"/>
      <c r="R34" s="68" t="inlineStr">
        <is>
          <t>持续强降雨引发洪涝，道路中断+市电中断</t>
        </is>
      </c>
      <c r="S34" s="68" t="n"/>
      <c r="T34" s="68" t="inlineStr">
        <is>
          <t>省通管局启动防汛四级应急响应，四大运营商联合抢修。省应急厅调派无人直升机覆盖凤亭乡、代化镇等灾区（接入540人次）。6月7日在长顺县代化镇首次实现5G异网漫游实战——贵州移动开通异网漫游功能，电信/联通用户1小时内通过移动5G网络恢复通信，累计837次跨网接入。工信部评价为国家应急通信资源共享标志性应用。截至6月9日12时灾区通信全面恢复至灾前水平。累计投入4,838人次、车辆2,088台、油机4,425台。</t>
        </is>
      </c>
      <c r="U34" s="68" t="n"/>
      <c r="V34" s="68" t="n"/>
      <c r="W34" s="68" t="n"/>
    </row>
    <row r="35" ht="91" customHeight="1" s="1">
      <c r="A35" s="68" t="n"/>
      <c r="B35" s="70" t="inlineStr">
        <is>
          <t>2026年6月4日</t>
        </is>
      </c>
      <c r="C35" s="68" t="inlineStr">
        <is>
          <t>山西</t>
        </is>
      </c>
      <c r="D35" s="68" t="inlineStr">
        <is>
          <t>山西电信</t>
        </is>
      </c>
      <c r="E35" s="68" t="inlineStr">
        <is>
          <t>通信企业</t>
        </is>
      </c>
      <c r="F35" s="68" t="inlineStr">
        <is>
          <t>设备设施故障</t>
        </is>
      </c>
      <c r="G35" s="68" t="inlineStr">
        <is>
          <t>5GC</t>
        </is>
      </c>
      <c r="H35" s="68" t="inlineStr">
        <is>
          <t>冗余保护失败</t>
        </is>
      </c>
      <c r="I35" s="69" t="inlineStr">
        <is>
          <t>部分5G用户无法正常使用，故障历时47分钟，累计受影响用户约1935户。</t>
        </is>
      </c>
      <c r="J35" s="68" t="inlineStr">
        <is>
          <t>2026年6月4日12时10分，中国电信山西分公司发生移动语音网络故障，PSBC（核心设备）呼叫接通率降低5%左右，造成部分5G用户无法正常使用，故障历时47分钟，累计受影响用户约1935户。</t>
        </is>
      </c>
      <c r="K35" s="68" t="inlineStr">
        <is>
          <t>部分5G用户无法正常使用，故障历时47分钟，累计受影响用户约1935户。</t>
        </is>
      </c>
      <c r="L35" s="68" t="inlineStr">
        <is>
          <t>47分钟</t>
        </is>
      </c>
      <c r="M35" s="68">
        <f>47*60</f>
        <v/>
      </c>
      <c r="N35" s="68" t="n"/>
      <c r="O35" s="68" t="n"/>
      <c r="P35" s="68" t="n"/>
      <c r="Q35" s="68" t="n"/>
      <c r="R35" s="68" t="n"/>
      <c r="S35" s="68" t="n"/>
      <c r="T35" s="68" t="n"/>
      <c r="U35" s="68" t="inlineStr">
        <is>
          <t>【待更新】故障具体技术原因未公布，客服仅称"整体故障"；行业分析指向北方电信骨干链路单点故障或核心网设备问题，待官方确认；用户影响范围数据可能不完整</t>
        </is>
      </c>
      <c r="V35" s="68" t="n"/>
      <c r="W35" s="68" t="n"/>
    </row>
    <row r="36" ht="156" customHeight="1" s="1">
      <c r="A36" s="68" t="n">
        <v>31</v>
      </c>
      <c r="B36" s="70" t="inlineStr">
        <is>
          <t>2026年6月20日</t>
        </is>
      </c>
      <c r="C36" s="68" t="inlineStr">
        <is>
          <t>湖南省</t>
        </is>
      </c>
      <c r="D36" s="68" t="inlineStr">
        <is>
          <t>湖南电信/移动</t>
        </is>
      </c>
      <c r="E36" s="68" t="inlineStr">
        <is>
          <t>通信企业</t>
        </is>
      </c>
      <c r="F36" s="68" t="inlineStr">
        <is>
          <t>外部环境-自然灾害</t>
        </is>
      </c>
      <c r="G36" s="68" t="inlineStr">
        <is>
          <t>光缆线路</t>
        </is>
      </c>
      <c r="H36" s="68" t="inlineStr">
        <is>
          <t>设备断电</t>
        </is>
      </c>
      <c r="I36" s="69" t="n"/>
      <c r="J36" s="68" t="inlineStr">
        <is>
          <t>6月20日起，怀化市通道侗族自治县遭遇特大暴雨，平均降雨量142.7毫米，菁芜洲镇累计232毫米，7个乡镇超200毫米。山洪暴发、道路塌方、全域停电致全县203个通信基站受损（电信71退服+移动144小区中断），10条传输链路中断，7-10台OLT停运。电信4000余户通信中断，全县1.18万人受灾、3514人紧急转移。</t>
        </is>
      </c>
      <c r="K36" s="68" t="n"/>
      <c r="L36" s="68" t="inlineStr">
        <is>
          <t>6月20日-抢修中（截至6月22日尚未完全恢复）</t>
        </is>
      </c>
      <c r="M36" s="68" t="n">
        <v>4320</v>
      </c>
      <c r="N36" s="68" t="n"/>
      <c r="O36" s="68" t="n"/>
      <c r="P36" s="68" t="n"/>
      <c r="Q36" s="68" t="n"/>
      <c r="R36" s="68" t="inlineStr">
        <is>
          <t>特大暴雨引发山洪，光缆线路和电力设施大面积损毁</t>
        </is>
      </c>
      <c r="S36" s="68" t="n"/>
      <c r="T36" s="68" t="inlineStr">
        <is>
          <t>长沙、衡阳、娄底、邵阳6支外援队伍跨市驰援，投入电信180人次/63车+移动队伍，新布放光缆超15.2公里，开通卫星应急基站3台。截至6月22日恢复2000+户、46处基站，剩余43处仍在抢修（降雨持续）。独坡镇全域断网期间依托19部天通卫星电话维持应急指挥。</t>
        </is>
      </c>
      <c r="U36" s="68" t="inlineStr">
        <is>
          <t>【待更新】剩余43个基站仍在抢修中；全量通信恢复时间待定；最终受灾用户数及经济损失待统计</t>
        </is>
      </c>
      <c r="V36" s="68" t="n"/>
      <c r="W36" s="68" t="n"/>
    </row>
    <row r="37">
      <c r="A37" s="68" t="n"/>
      <c r="B37" s="68" t="n"/>
      <c r="C37" s="68" t="n"/>
      <c r="D37" s="68" t="n"/>
      <c r="E37" s="68" t="n"/>
      <c r="F37" s="68" t="n"/>
      <c r="G37" s="68" t="n"/>
      <c r="H37" s="68" t="n"/>
      <c r="I37" s="69" t="n"/>
      <c r="J37" s="68" t="n"/>
      <c r="K37" s="68" t="n"/>
      <c r="L37" s="68" t="n"/>
      <c r="M37" s="68" t="n"/>
      <c r="N37" s="68" t="n"/>
      <c r="O37" s="68" t="n"/>
      <c r="P37" s="68" t="n"/>
      <c r="Q37" s="68" t="n"/>
      <c r="R37" s="68" t="n"/>
      <c r="S37" s="68" t="n"/>
      <c r="T37" s="68" t="n"/>
      <c r="U37" s="68" t="n"/>
      <c r="V37" s="68" t="n"/>
      <c r="W37" s="68" t="n"/>
    </row>
    <row r="38">
      <c r="A38" s="68" t="n"/>
      <c r="B38" s="68" t="n"/>
      <c r="C38" s="68" t="n"/>
      <c r="D38" s="68" t="n"/>
      <c r="E38" s="68" t="n"/>
      <c r="F38" s="68" t="n"/>
      <c r="G38" s="68" t="n"/>
      <c r="H38" s="68" t="n"/>
      <c r="I38" s="69" t="n"/>
      <c r="J38" s="68" t="n"/>
      <c r="K38" s="68" t="n"/>
      <c r="L38" s="68" t="n"/>
      <c r="M38" s="68" t="n"/>
      <c r="N38" s="68" t="n"/>
      <c r="O38" s="68" t="n"/>
      <c r="P38" s="68" t="n"/>
      <c r="Q38" s="68" t="n"/>
      <c r="R38" s="68" t="n"/>
      <c r="S38" s="68" t="n"/>
      <c r="T38" s="68" t="n"/>
      <c r="U38" s="68" t="n"/>
      <c r="V38" s="68" t="n"/>
      <c r="W38" s="68" t="n"/>
    </row>
    <row r="39">
      <c r="A39" s="68" t="n"/>
      <c r="B39" s="68" t="n"/>
      <c r="C39" s="68" t="n"/>
      <c r="D39" s="68" t="n"/>
      <c r="E39" s="68" t="n"/>
      <c r="F39" s="68" t="n"/>
      <c r="G39" s="68" t="n"/>
      <c r="H39" s="68" t="n"/>
      <c r="I39" s="69" t="n"/>
      <c r="J39" s="68" t="n"/>
      <c r="K39" s="68" t="n"/>
      <c r="L39" s="68" t="n"/>
      <c r="M39" s="68" t="n"/>
      <c r="N39" s="68" t="n"/>
      <c r="O39" s="68" t="n"/>
      <c r="P39" s="68" t="n"/>
      <c r="Q39" s="68" t="n"/>
      <c r="R39" s="68" t="n"/>
      <c r="S39" s="68" t="n"/>
      <c r="T39" s="68" t="n"/>
      <c r="U39" s="68" t="n"/>
      <c r="V39" s="68" t="n"/>
      <c r="W39" s="68" t="n"/>
    </row>
    <row r="40">
      <c r="A40" s="68" t="n"/>
      <c r="B40" s="68" t="n"/>
      <c r="C40" s="68" t="n"/>
      <c r="D40" s="68" t="n"/>
      <c r="E40" s="68" t="n"/>
      <c r="F40" s="68" t="n"/>
      <c r="G40" s="68" t="n"/>
      <c r="H40" s="68" t="n"/>
      <c r="I40" s="69" t="n"/>
      <c r="J40" s="68" t="n"/>
      <c r="K40" s="68" t="n"/>
      <c r="L40" s="68" t="n"/>
      <c r="M40" s="68" t="n"/>
      <c r="N40" s="68" t="n"/>
      <c r="O40" s="68" t="n"/>
      <c r="P40" s="68" t="n"/>
      <c r="Q40" s="68" t="n"/>
      <c r="R40" s="68" t="n"/>
      <c r="S40" s="68" t="n"/>
      <c r="T40" s="68" t="n"/>
      <c r="U40" s="68" t="n"/>
      <c r="V40" s="68" t="n"/>
      <c r="W40" s="68" t="n"/>
    </row>
    <row r="41">
      <c r="A41" s="68" t="n"/>
      <c r="B41" s="68" t="n"/>
      <c r="C41" s="68" t="n"/>
      <c r="D41" s="68" t="n"/>
      <c r="E41" s="68" t="n"/>
      <c r="F41" s="68" t="n"/>
      <c r="G41" s="68" t="n"/>
      <c r="H41" s="68" t="n"/>
      <c r="I41" s="69" t="n"/>
      <c r="J41" s="68" t="n"/>
      <c r="K41" s="68" t="n"/>
      <c r="L41" s="68" t="n"/>
      <c r="M41" s="68" t="n"/>
      <c r="N41" s="68" t="n"/>
      <c r="O41" s="68" t="n"/>
      <c r="P41" s="68" t="n"/>
      <c r="Q41" s="68" t="n"/>
      <c r="R41" s="68" t="n"/>
      <c r="S41" s="68" t="n"/>
      <c r="T41" s="68" t="n"/>
      <c r="U41" s="68" t="n"/>
      <c r="V41" s="68" t="n"/>
      <c r="W41" s="68" t="n"/>
    </row>
    <row r="42">
      <c r="A42" s="68" t="n"/>
      <c r="B42" s="68" t="n"/>
      <c r="C42" s="68" t="n"/>
      <c r="D42" s="68" t="n"/>
      <c r="E42" s="68" t="n"/>
      <c r="F42" s="68" t="n"/>
      <c r="G42" s="68" t="n"/>
      <c r="H42" s="68" t="n"/>
      <c r="I42" s="69" t="n"/>
      <c r="J42" s="68" t="n"/>
      <c r="K42" s="68" t="n"/>
      <c r="L42" s="68" t="n"/>
      <c r="M42" s="68" t="n"/>
      <c r="N42" s="68" t="n"/>
      <c r="O42" s="68" t="n"/>
      <c r="P42" s="68" t="n"/>
      <c r="Q42" s="68" t="n"/>
      <c r="R42" s="68" t="n"/>
      <c r="S42" s="68" t="n"/>
      <c r="T42" s="68" t="n"/>
      <c r="U42" s="68" t="n"/>
      <c r="V42" s="68" t="n"/>
      <c r="W42" s="68" t="n"/>
    </row>
    <row r="43">
      <c r="A43" s="68" t="n"/>
      <c r="B43" s="68" t="n"/>
      <c r="C43" s="68" t="n"/>
      <c r="D43" s="68" t="n"/>
      <c r="E43" s="68" t="n"/>
      <c r="F43" s="68" t="n"/>
      <c r="G43" s="68" t="n"/>
      <c r="H43" s="68" t="n"/>
      <c r="I43" s="69" t="n"/>
      <c r="J43" s="68" t="n"/>
      <c r="K43" s="68" t="n"/>
      <c r="L43" s="68" t="n"/>
      <c r="M43" s="68" t="n"/>
      <c r="N43" s="68" t="n"/>
      <c r="O43" s="68" t="n"/>
      <c r="P43" s="68" t="n"/>
      <c r="Q43" s="68" t="n"/>
      <c r="R43" s="68" t="n"/>
      <c r="S43" s="68" t="n"/>
      <c r="T43" s="68" t="n"/>
      <c r="U43" s="68" t="n"/>
      <c r="V43" s="68" t="n"/>
      <c r="W43" s="68" t="n"/>
    </row>
    <row r="44">
      <c r="A44" s="68" t="n"/>
      <c r="B44" s="68" t="n"/>
      <c r="C44" s="68" t="n"/>
      <c r="D44" s="68" t="n"/>
      <c r="E44" s="68" t="n"/>
      <c r="F44" s="68" t="n"/>
      <c r="G44" s="68" t="n"/>
      <c r="H44" s="68" t="n"/>
      <c r="I44" s="69" t="n"/>
      <c r="J44" s="68" t="n"/>
      <c r="K44" s="68" t="n"/>
      <c r="L44" s="68" t="n"/>
      <c r="M44" s="68" t="n"/>
      <c r="N44" s="68" t="n"/>
      <c r="O44" s="68" t="n"/>
      <c r="P44" s="68" t="n"/>
      <c r="Q44" s="68" t="n"/>
      <c r="R44" s="68" t="n"/>
      <c r="S44" s="68" t="n"/>
      <c r="T44" s="68" t="n"/>
      <c r="U44" s="68" t="n"/>
      <c r="V44" s="68" t="n"/>
      <c r="W44" s="68" t="n"/>
    </row>
    <row r="45">
      <c r="A45" s="68" t="n"/>
      <c r="B45" s="68" t="n"/>
      <c r="C45" s="68" t="n"/>
      <c r="D45" s="68" t="n"/>
      <c r="E45" s="68" t="n"/>
      <c r="F45" s="68" t="n"/>
      <c r="G45" s="68" t="n"/>
      <c r="H45" s="68" t="n"/>
      <c r="I45" s="69" t="n"/>
      <c r="J45" s="68" t="n"/>
      <c r="K45" s="68" t="n"/>
      <c r="L45" s="68" t="n"/>
      <c r="M45" s="68" t="n"/>
      <c r="N45" s="68" t="n"/>
      <c r="O45" s="68" t="n"/>
      <c r="P45" s="68" t="n"/>
      <c r="Q45" s="68" t="n"/>
      <c r="R45" s="68" t="n"/>
      <c r="S45" s="68" t="n"/>
      <c r="T45" s="68" t="n"/>
      <c r="U45" s="68" t="n"/>
      <c r="V45" s="68" t="n"/>
      <c r="W45" s="68" t="n"/>
    </row>
    <row r="46">
      <c r="A46" s="68" t="n"/>
      <c r="B46" s="68" t="n"/>
      <c r="C46" s="68" t="n"/>
      <c r="D46" s="68" t="n"/>
      <c r="E46" s="68" t="n"/>
      <c r="F46" s="68" t="n"/>
      <c r="G46" s="68" t="n"/>
      <c r="H46" s="68" t="n"/>
      <c r="I46" s="69" t="n"/>
      <c r="J46" s="68" t="n"/>
      <c r="K46" s="68" t="n"/>
      <c r="L46" s="68" t="n"/>
      <c r="M46" s="68" t="n"/>
      <c r="N46" s="68" t="n"/>
      <c r="O46" s="68" t="n"/>
      <c r="P46" s="68" t="n"/>
      <c r="Q46" s="68" t="n"/>
      <c r="R46" s="68" t="n"/>
      <c r="S46" s="68" t="n"/>
      <c r="T46" s="68" t="n"/>
      <c r="U46" s="68" t="n"/>
      <c r="V46" s="68" t="n"/>
      <c r="W46" s="68" t="n"/>
    </row>
    <row r="47">
      <c r="A47" s="68" t="n"/>
      <c r="B47" s="68" t="n"/>
      <c r="C47" s="68" t="n"/>
      <c r="D47" s="68" t="n"/>
      <c r="E47" s="68" t="n"/>
      <c r="F47" s="68" t="n"/>
      <c r="G47" s="68" t="n"/>
      <c r="H47" s="68" t="n"/>
      <c r="I47" s="69" t="n"/>
      <c r="J47" s="68" t="n"/>
      <c r="K47" s="68" t="n"/>
      <c r="L47" s="68" t="n"/>
      <c r="M47" s="68" t="n"/>
      <c r="N47" s="68" t="n"/>
      <c r="O47" s="68" t="n"/>
      <c r="P47" s="68" t="n"/>
      <c r="Q47" s="68" t="n"/>
      <c r="R47" s="68" t="n"/>
      <c r="S47" s="68" t="n"/>
      <c r="T47" s="68" t="n"/>
      <c r="U47" s="68" t="n"/>
      <c r="V47" s="68" t="n"/>
      <c r="W47" s="68" t="n"/>
    </row>
    <row r="48">
      <c r="A48" s="68" t="n"/>
      <c r="B48" s="68" t="n"/>
      <c r="C48" s="68" t="n"/>
      <c r="D48" s="68" t="n"/>
      <c r="E48" s="68" t="n"/>
      <c r="F48" s="68" t="n"/>
      <c r="G48" s="68" t="n"/>
      <c r="H48" s="68" t="n"/>
      <c r="I48" s="69" t="n"/>
      <c r="J48" s="68" t="n"/>
      <c r="K48" s="68" t="n"/>
      <c r="L48" s="68" t="n"/>
      <c r="M48" s="68" t="n"/>
      <c r="N48" s="68" t="n"/>
      <c r="O48" s="68" t="n"/>
      <c r="P48" s="68" t="n"/>
      <c r="Q48" s="68" t="n"/>
      <c r="R48" s="68" t="n"/>
      <c r="S48" s="68" t="n"/>
      <c r="T48" s="68" t="n"/>
      <c r="U48" s="68" t="n"/>
      <c r="V48" s="68" t="n"/>
      <c r="W48" s="68" t="n"/>
    </row>
    <row r="49">
      <c r="A49" s="68" t="n"/>
      <c r="B49" s="68" t="n"/>
      <c r="C49" s="68" t="n"/>
      <c r="D49" s="68" t="n"/>
      <c r="E49" s="68" t="n"/>
      <c r="F49" s="68" t="n"/>
      <c r="G49" s="68" t="n"/>
      <c r="H49" s="68" t="n"/>
      <c r="I49" s="69" t="n"/>
      <c r="J49" s="68" t="n"/>
      <c r="K49" s="68" t="n"/>
      <c r="L49" s="68" t="n"/>
      <c r="M49" s="68" t="n"/>
      <c r="N49" s="68" t="n"/>
      <c r="O49" s="68" t="n"/>
      <c r="P49" s="68" t="n"/>
      <c r="Q49" s="68" t="n"/>
      <c r="R49" s="68" t="n"/>
      <c r="S49" s="68" t="n"/>
      <c r="T49" s="68" t="n"/>
      <c r="U49" s="68" t="n"/>
      <c r="V49" s="68" t="n"/>
      <c r="W49" s="68" t="n"/>
    </row>
    <row r="50">
      <c r="A50" s="68" t="n"/>
      <c r="B50" s="68" t="n"/>
      <c r="C50" s="68" t="n"/>
      <c r="D50" s="68" t="n"/>
      <c r="E50" s="68" t="n"/>
      <c r="F50" s="68" t="n"/>
      <c r="G50" s="68" t="n"/>
      <c r="H50" s="68" t="n"/>
      <c r="I50" s="69" t="n"/>
      <c r="J50" s="68" t="n"/>
      <c r="K50" s="68" t="n"/>
      <c r="L50" s="68" t="n"/>
      <c r="M50" s="68" t="n"/>
      <c r="N50" s="68" t="n"/>
      <c r="O50" s="68" t="n"/>
      <c r="P50" s="68" t="n"/>
      <c r="Q50" s="68" t="n"/>
      <c r="R50" s="68" t="n"/>
      <c r="S50" s="68" t="n"/>
      <c r="T50" s="68" t="n"/>
      <c r="U50" s="68" t="n"/>
      <c r="V50" s="68" t="n"/>
      <c r="W50" s="68" t="n"/>
    </row>
    <row r="51">
      <c r="A51" s="68" t="n"/>
      <c r="B51" s="68" t="n"/>
      <c r="C51" s="68" t="n"/>
      <c r="D51" s="68" t="n"/>
      <c r="E51" s="68" t="n"/>
      <c r="F51" s="68" t="n"/>
      <c r="G51" s="68" t="n"/>
      <c r="H51" s="68" t="n"/>
      <c r="I51" s="69" t="n"/>
      <c r="J51" s="68" t="n"/>
      <c r="K51" s="68" t="n"/>
      <c r="L51" s="68" t="n"/>
      <c r="M51" s="68" t="n"/>
      <c r="N51" s="68" t="n"/>
      <c r="O51" s="68" t="n"/>
      <c r="P51" s="68" t="n"/>
      <c r="Q51" s="68" t="n"/>
      <c r="R51" s="68" t="n"/>
      <c r="S51" s="68" t="n"/>
      <c r="T51" s="68" t="n"/>
      <c r="U51" s="68" t="n"/>
      <c r="V51" s="68" t="n"/>
      <c r="W51" s="68" t="n"/>
    </row>
  </sheetData>
  <autoFilter ref="D1:D51"/>
  <mergeCells count="1">
    <mergeCell ref="K14:L14"/>
  </mergeCells>
  <dataValidations count="2">
    <dataValidation sqref="E1:E1048576" showDropDown="0" showInputMessage="1" showErrorMessage="1" allowBlank="1" type="list">
      <formula1>"通信企业,互联网企业,政府机构,其他"</formula1>
    </dataValidation>
    <dataValidation sqref="I1:I1048576" showDropDown="0" showInputMessage="1" showErrorMessage="1" allowBlank="1" type="list">
      <formula1>"设备故障（软件）,设备故障（硬件）,人为操作,光缆/链路故障,云服务,火灾,自然灾害,电力,暖通,人为破坏,恶意破坏,自然灾害,未知,其他"</formula1>
    </dataValidation>
  </dataValidations>
  <hyperlinks>
    <hyperlink xmlns:r="http://schemas.openxmlformats.org/officeDocument/2006/relationships" ref="V31"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W67"/>
  <sheetViews>
    <sheetView tabSelected="1" zoomScale="81" zoomScaleNormal="81" workbookViewId="0">
      <pane ySplit="1" topLeftCell="A55" activePane="bottomLeft" state="frozen"/>
      <selection pane="bottomLeft" activeCell="D81" sqref="D81"/>
    </sheetView>
  </sheetViews>
  <sheetFormatPr baseColWidth="8" defaultColWidth="8.58203125" defaultRowHeight="13"/>
  <cols>
    <col width="4.75" customWidth="1" style="54" min="1" max="1"/>
    <col width="16.08203125" customWidth="1" style="54" min="2" max="2"/>
    <col width="16" customWidth="1" style="54" min="3" max="3"/>
    <col width="14.58203125" customWidth="1" style="54" min="4" max="5"/>
    <col width="10.83203125" customWidth="1" style="35" min="6" max="6"/>
    <col width="12.58203125" customWidth="1" style="35" min="7" max="8"/>
    <col hidden="1" width="11.9140625" customWidth="1" style="54" min="9" max="9"/>
    <col width="26.5" customWidth="1" style="54" min="10" max="10"/>
    <col width="19.75" customWidth="1" style="54" min="11" max="11"/>
    <col width="8.58203125" customWidth="1" style="54" min="12" max="12"/>
    <col width="12.1640625" customWidth="1" style="54" min="13" max="15"/>
    <col width="28.25" customWidth="1" style="54" min="16" max="16"/>
    <col width="28.1640625" customWidth="1" style="54" min="17" max="17"/>
    <col width="8.58203125" customWidth="1" style="54" min="18" max="20"/>
    <col width="8.58203125" customWidth="1" style="35" min="21" max="21"/>
    <col width="8.58203125" customWidth="1" style="54" min="22" max="22"/>
    <col width="8.58203125" customWidth="1" style="54" min="23" max="16384"/>
  </cols>
  <sheetData>
    <row r="1" ht="26" customFormat="1" customHeight="1" s="47">
      <c r="A1" s="68" t="inlineStr">
        <is>
          <t>序号</t>
        </is>
      </c>
      <c r="B1" s="68" t="inlineStr">
        <is>
          <t>发生时间</t>
        </is>
      </c>
      <c r="C1" s="68" t="inlineStr">
        <is>
          <t>事故地点</t>
        </is>
      </c>
      <c r="D1" s="68" t="inlineStr">
        <is>
          <t>所属公司</t>
        </is>
      </c>
      <c r="E1" s="68" t="inlineStr">
        <is>
          <t>性质</t>
        </is>
      </c>
      <c r="F1" s="68" t="inlineStr">
        <is>
          <t>原因</t>
        </is>
      </c>
      <c r="G1" s="68" t="inlineStr">
        <is>
          <t>初始故障系统</t>
        </is>
      </c>
      <c r="H1" s="68" t="inlineStr">
        <is>
          <t>事故扩大原因</t>
        </is>
      </c>
      <c r="I1" s="68" t="inlineStr">
        <is>
          <t>事故分类</t>
        </is>
      </c>
      <c r="J1" s="68" t="inlineStr">
        <is>
          <t>事故基本情况</t>
        </is>
      </c>
      <c r="K1" s="68" t="inlineStr">
        <is>
          <t>事故影响</t>
        </is>
      </c>
      <c r="L1" s="68" t="inlineStr">
        <is>
          <t>时间</t>
        </is>
      </c>
      <c r="M1" s="68" t="inlineStr">
        <is>
          <t>历时</t>
        </is>
      </c>
      <c r="N1" s="68" t="inlineStr">
        <is>
          <t>影响用户数</t>
        </is>
      </c>
      <c r="O1" s="68" t="inlineStr">
        <is>
          <t>事故等级</t>
        </is>
      </c>
      <c r="P1" s="68" t="inlineStr">
        <is>
          <t>事故根因1</t>
        </is>
      </c>
      <c r="Q1" s="68" t="inlineStr">
        <is>
          <t>事故根因2</t>
        </is>
      </c>
      <c r="R1" s="68" t="inlineStr">
        <is>
          <t>事故根因3</t>
        </is>
      </c>
      <c r="S1" s="68" t="inlineStr">
        <is>
          <t>事故根因4</t>
        </is>
      </c>
      <c r="T1" s="68" t="inlineStr">
        <is>
          <t>运营商应对</t>
        </is>
      </c>
      <c r="U1" s="68" t="inlineStr">
        <is>
          <t>后续</t>
        </is>
      </c>
      <c r="V1" s="68" t="inlineStr">
        <is>
          <t>消息来源</t>
        </is>
      </c>
      <c r="W1" s="68" t="inlineStr">
        <is>
          <t>原链接</t>
        </is>
      </c>
    </row>
    <row r="2" ht="22.5" customHeight="1" s="1">
      <c r="A2" s="74" t="n">
        <v>1</v>
      </c>
      <c r="B2" s="75" t="inlineStr">
        <is>
          <t>2020年8月30日</t>
        </is>
      </c>
      <c r="C2" s="68" t="inlineStr">
        <is>
          <t>美国</t>
        </is>
      </c>
      <c r="D2" s="74" t="inlineStr">
        <is>
          <t>美国世纪互联</t>
        </is>
      </c>
      <c r="E2" s="74" t="inlineStr">
        <is>
          <t>互联网企业</t>
        </is>
      </c>
      <c r="F2" s="68" t="inlineStr">
        <is>
          <t>人员误操作（日常维护）</t>
        </is>
      </c>
      <c r="G2" s="68" t="n"/>
      <c r="H2" s="68" t="inlineStr">
        <is>
          <t>无</t>
        </is>
      </c>
      <c r="I2" s="68" t="n"/>
      <c r="J2" s="68" t="n"/>
      <c r="K2" s="68" t="n"/>
      <c r="L2" s="68" t="inlineStr">
        <is>
          <t>网络中断5小时</t>
        </is>
      </c>
      <c r="M2" s="68" t="n">
        <v>300</v>
      </c>
      <c r="N2" s="68" t="n"/>
      <c r="O2" s="68" t="n"/>
      <c r="P2" s="74" t="inlineStr">
        <is>
          <t>错误配置导致控制平面崩溃且恢复慢</t>
        </is>
      </c>
      <c r="Q2" s="74" t="n"/>
      <c r="R2" s="74" t="n"/>
      <c r="S2" s="68" t="n"/>
      <c r="T2" s="68" t="n"/>
      <c r="U2" s="68" t="n"/>
      <c r="V2" s="68" t="n"/>
      <c r="W2" s="68" t="n"/>
    </row>
    <row r="3" ht="22.5" customHeight="1" s="1">
      <c r="A3" s="74" t="n">
        <v>2</v>
      </c>
      <c r="B3" s="75" t="inlineStr">
        <is>
          <t>2020年9月28日</t>
        </is>
      </c>
      <c r="C3" s="68" t="inlineStr">
        <is>
          <t>美国</t>
        </is>
      </c>
      <c r="D3" s="74" t="inlineStr">
        <is>
          <t>美国Microsoft Azure AD中断数小时</t>
        </is>
      </c>
      <c r="E3" s="74" t="inlineStr">
        <is>
          <t>互联网企业</t>
        </is>
      </c>
      <c r="F3" s="68" t="n"/>
      <c r="G3" s="68" t="n"/>
      <c r="H3" s="68" t="n"/>
      <c r="I3" s="68" t="n"/>
      <c r="J3" s="68" t="n"/>
      <c r="K3" s="68" t="n"/>
      <c r="L3" s="68" t="n"/>
      <c r="M3" s="68" t="n"/>
      <c r="N3" s="68" t="n"/>
      <c r="O3" s="68" t="n"/>
      <c r="P3" s="74" t="inlineStr">
        <is>
          <t>资源重用缺少防护机制</t>
        </is>
      </c>
      <c r="Q3" s="74" t="n"/>
      <c r="R3" s="74" t="n"/>
      <c r="S3" s="68" t="n"/>
      <c r="T3" s="68" t="n"/>
      <c r="U3" s="68" t="n"/>
      <c r="V3" s="68" t="n"/>
      <c r="W3" s="68" t="n"/>
    </row>
    <row r="4" ht="22.5" customHeight="1" s="1">
      <c r="A4" s="74" t="n">
        <v>3</v>
      </c>
      <c r="B4" s="75" t="inlineStr">
        <is>
          <t>2021年7月22日</t>
        </is>
      </c>
      <c r="C4" s="68" t="inlineStr">
        <is>
          <t>美国</t>
        </is>
      </c>
      <c r="D4" s="74" t="inlineStr">
        <is>
          <t xml:space="preserve">世界最大分布式CDN提供商Akamai </t>
        </is>
      </c>
      <c r="E4" s="74" t="inlineStr">
        <is>
          <t>互联网企业</t>
        </is>
      </c>
      <c r="F4" s="68" t="inlineStr">
        <is>
          <t>设备设施故障</t>
        </is>
      </c>
      <c r="G4" s="68" t="inlineStr">
        <is>
          <t>DNS</t>
        </is>
      </c>
      <c r="H4" s="68" t="inlineStr">
        <is>
          <t>冗余保护失败</t>
        </is>
      </c>
      <c r="I4" s="68" t="n"/>
      <c r="J4" s="68" t="n"/>
      <c r="K4" s="68" t="inlineStr">
        <is>
          <t>DNS服务中断</t>
        </is>
      </c>
      <c r="L4" s="68" t="inlineStr">
        <is>
          <t>1小时</t>
        </is>
      </c>
      <c r="M4" s="68" t="n">
        <v>60</v>
      </c>
      <c r="N4" s="68" t="n"/>
      <c r="O4" s="68" t="n"/>
      <c r="P4" s="74" t="inlineStr">
        <is>
          <t>DNS故障后，无可用容灾设备</t>
        </is>
      </c>
      <c r="Q4" s="74" t="n"/>
      <c r="R4" s="74" t="n"/>
      <c r="S4" s="68" t="n"/>
      <c r="T4" s="68" t="n"/>
      <c r="U4" s="68" t="n"/>
      <c r="V4" s="68" t="n"/>
      <c r="W4" s="68" t="n"/>
    </row>
    <row r="5">
      <c r="A5" s="74" t="n">
        <v>4</v>
      </c>
      <c r="B5" s="75" t="inlineStr">
        <is>
          <t>2021年10月4日</t>
        </is>
      </c>
      <c r="C5" s="68" t="inlineStr">
        <is>
          <t>美国</t>
        </is>
      </c>
      <c r="D5" s="74" t="inlineStr">
        <is>
          <t>Facebook</t>
        </is>
      </c>
      <c r="E5" s="74" t="inlineStr">
        <is>
          <t>互联网企业</t>
        </is>
      </c>
      <c r="F5" s="68" t="inlineStr">
        <is>
          <t>设备设施故障</t>
        </is>
      </c>
      <c r="G5" s="68" t="inlineStr">
        <is>
          <t>DNS</t>
        </is>
      </c>
      <c r="H5" s="68" t="inlineStr">
        <is>
          <t>无</t>
        </is>
      </c>
      <c r="I5" s="68" t="n"/>
      <c r="J5" s="68" t="n"/>
      <c r="K5" s="68" t="inlineStr">
        <is>
          <t>网络中断7小时</t>
        </is>
      </c>
      <c r="L5" s="68" t="n"/>
      <c r="M5" s="68" t="n">
        <v>420</v>
      </c>
      <c r="N5" s="68" t="n"/>
      <c r="O5" s="68" t="n"/>
      <c r="P5" s="74" t="inlineStr">
        <is>
          <t>DNS组网不可靠</t>
        </is>
      </c>
      <c r="Q5" s="74" t="inlineStr">
        <is>
          <t>门禁无法进入</t>
        </is>
      </c>
      <c r="R5" s="74" t="n"/>
      <c r="S5" s="68" t="n"/>
      <c r="T5" s="68" t="n"/>
      <c r="U5" s="68" t="n"/>
      <c r="V5" s="68" t="n"/>
      <c r="W5" s="68" t="n"/>
    </row>
    <row r="6" ht="22.5" customHeight="1" s="1">
      <c r="A6" s="74" t="n">
        <v>5</v>
      </c>
      <c r="B6" s="75" t="inlineStr">
        <is>
          <t>2021年10月19日</t>
        </is>
      </c>
      <c r="C6" s="68" t="inlineStr">
        <is>
          <t>日本</t>
        </is>
      </c>
      <c r="D6" s="74" t="inlineStr">
        <is>
          <t>日本NTT Docomo</t>
        </is>
      </c>
      <c r="E6" s="74" t="inlineStr">
        <is>
          <t>通信企业</t>
        </is>
      </c>
      <c r="F6" s="68" t="n"/>
      <c r="G6" s="68" t="n"/>
      <c r="H6" s="68" t="inlineStr">
        <is>
          <t>信令风暴</t>
        </is>
      </c>
      <c r="I6" s="68" t="n"/>
      <c r="J6" s="68" t="n"/>
      <c r="K6" s="68" t="inlineStr">
        <is>
          <t>网络中断12小时，波及人数约100万。</t>
        </is>
      </c>
      <c r="L6" s="68" t="n"/>
      <c r="M6" s="68" t="n">
        <v>720</v>
      </c>
      <c r="N6" s="68" t="n"/>
      <c r="O6" s="68" t="n"/>
      <c r="P6" s="74" t="inlineStr">
        <is>
          <t>设备防信令风暴机制不足</t>
        </is>
      </c>
      <c r="Q6" s="74" t="n"/>
      <c r="R6" s="74" t="n"/>
      <c r="S6" s="68" t="n"/>
      <c r="T6" s="68" t="n"/>
      <c r="U6" s="68" t="n"/>
      <c r="V6" s="68" t="n"/>
      <c r="W6" s="68" t="n"/>
    </row>
    <row r="7" ht="45" customHeight="1" s="1">
      <c r="A7" s="74" t="n">
        <v>6</v>
      </c>
      <c r="B7" s="75" t="inlineStr">
        <is>
          <t>2021年10月25日</t>
        </is>
      </c>
      <c r="C7" s="75" t="inlineStr">
        <is>
          <t>韩国</t>
        </is>
      </c>
      <c r="D7" s="75" t="inlineStr">
        <is>
          <t>KT</t>
        </is>
      </c>
      <c r="E7" s="74" t="inlineStr">
        <is>
          <t>通信企业</t>
        </is>
      </c>
      <c r="F7" s="68" t="inlineStr">
        <is>
          <t>人员误操作（日常维护）</t>
        </is>
      </c>
      <c r="G7" s="68" t="inlineStr">
        <is>
          <t>DNS</t>
        </is>
      </c>
      <c r="H7" s="68" t="inlineStr">
        <is>
          <t>无</t>
        </is>
      </c>
      <c r="I7" s="75" t="inlineStr">
        <is>
          <t>运维操作不当</t>
        </is>
      </c>
      <c r="J7" s="75" t="inlineStr">
        <is>
          <t>更换设备过程中遗漏一个命令词，引发全国范围网络大规模瘫痪</t>
        </is>
      </c>
      <c r="K7" s="75" t="inlineStr">
        <is>
          <t>KT的有线、无线互联网服务发生全国范围的瘫痪</t>
        </is>
      </c>
      <c r="L7" s="75" t="inlineStr">
        <is>
          <t>故障时间持续近1小时，</t>
        </is>
      </c>
      <c r="M7" s="68" t="n">
        <v>60</v>
      </c>
      <c r="N7" s="68" t="n"/>
      <c r="O7" s="68" t="n"/>
      <c r="P7" s="75" t="inlineStr">
        <is>
          <t>域名系统（DNS）服务器流量超负荷造成网络故障，工作人员在更换企业路由器的过程中遗漏“exit”命令词，导致网络路由设置错误。</t>
        </is>
      </c>
      <c r="Q7" s="74" t="n"/>
      <c r="R7" s="74" t="n"/>
      <c r="S7" s="68" t="n"/>
      <c r="T7" s="68" t="n"/>
      <c r="U7" s="68" t="n"/>
      <c r="V7" s="68" t="n"/>
      <c r="W7" s="68" t="n"/>
    </row>
    <row r="8" ht="22.5" customHeight="1" s="1">
      <c r="A8" s="74" t="n">
        <v>7</v>
      </c>
      <c r="B8" s="75" t="inlineStr">
        <is>
          <t>2021年11月8日</t>
        </is>
      </c>
      <c r="C8" s="68" t="inlineStr">
        <is>
          <t>美国</t>
        </is>
      </c>
      <c r="D8" s="74" t="inlineStr">
        <is>
          <t>美国大型Cable服务提供商omcast</t>
        </is>
      </c>
      <c r="E8" s="74" t="inlineStr">
        <is>
          <t>通信企业</t>
        </is>
      </c>
      <c r="F8" s="68" t="inlineStr">
        <is>
          <t>设备设施故障</t>
        </is>
      </c>
      <c r="G8" s="68" t="inlineStr">
        <is>
          <t>光缆线路</t>
        </is>
      </c>
      <c r="H8" s="68" t="n"/>
      <c r="I8" s="68" t="n"/>
      <c r="J8" s="68" t="n"/>
      <c r="K8" s="68" t="inlineStr">
        <is>
          <t>网络中断约3小时</t>
        </is>
      </c>
      <c r="L8" s="68" t="n"/>
      <c r="M8" s="68" t="n">
        <v>180</v>
      </c>
      <c r="N8" s="68" t="n"/>
      <c r="O8" s="68" t="n"/>
      <c r="P8" s="74" t="inlineStr">
        <is>
          <t>容灾路径丢包</t>
        </is>
      </c>
      <c r="Q8" s="74" t="n"/>
      <c r="R8" s="74" t="n"/>
      <c r="S8" s="68" t="n"/>
      <c r="T8" s="68" t="n"/>
      <c r="U8" s="68" t="n"/>
      <c r="V8" s="68" t="n"/>
      <c r="W8" s="68" t="n"/>
    </row>
    <row r="9" ht="22.5" customHeight="1" s="1">
      <c r="A9" s="74" t="n">
        <v>8</v>
      </c>
      <c r="B9" s="75" t="inlineStr">
        <is>
          <t>2021年12月7日</t>
        </is>
      </c>
      <c r="C9" s="68" t="inlineStr">
        <is>
          <t>美国</t>
        </is>
      </c>
      <c r="D9" s="74" t="inlineStr">
        <is>
          <t>亚马逊</t>
        </is>
      </c>
      <c r="E9" s="74" t="inlineStr">
        <is>
          <t>互联网企业</t>
        </is>
      </c>
      <c r="F9" s="68" t="inlineStr">
        <is>
          <t>设备设施故障</t>
        </is>
      </c>
      <c r="G9" s="68" t="inlineStr">
        <is>
          <t>云平台</t>
        </is>
      </c>
      <c r="H9" s="68" t="inlineStr">
        <is>
          <t>冗余保护失败</t>
        </is>
      </c>
      <c r="I9" s="68" t="n"/>
      <c r="J9" s="68" t="n"/>
      <c r="K9" s="68" t="inlineStr">
        <is>
          <t>AWS服务中断8小时</t>
        </is>
      </c>
      <c r="L9" s="68" t="n"/>
      <c r="M9" s="68" t="n">
        <v>420</v>
      </c>
      <c r="N9" s="68" t="n"/>
      <c r="O9" s="68" t="n"/>
      <c r="P9" s="74" t="inlineStr">
        <is>
          <t>API网关服务的性能不足；网管组网存在单节点</t>
        </is>
      </c>
      <c r="Q9" s="74" t="n"/>
      <c r="R9" s="74" t="n"/>
      <c r="S9" s="68" t="n"/>
      <c r="T9" s="68" t="n"/>
      <c r="U9" s="68" t="n"/>
      <c r="V9" s="68" t="n"/>
      <c r="W9" s="68" t="n"/>
    </row>
    <row r="10" ht="22.5" customHeight="1" s="1">
      <c r="A10" s="74" t="n">
        <v>9</v>
      </c>
      <c r="B10" s="75" t="inlineStr">
        <is>
          <t>2022年2月1日</t>
        </is>
      </c>
      <c r="C10" s="68" t="inlineStr">
        <is>
          <t>日本</t>
        </is>
      </c>
      <c r="D10" s="74" t="inlineStr">
        <is>
          <t>日本NTT Docomo</t>
        </is>
      </c>
      <c r="E10" s="74" t="inlineStr">
        <is>
          <t>通信企业</t>
        </is>
      </c>
      <c r="F10" s="68" t="n"/>
      <c r="G10" s="68" t="n"/>
      <c r="H10" s="68" t="n"/>
      <c r="I10" s="68" t="n"/>
      <c r="J10" s="68" t="n"/>
      <c r="K10" s="68" t="inlineStr">
        <is>
          <t>约1万8千名用户无法上网和进行VOLTE语音通话</t>
        </is>
      </c>
      <c r="L10" s="68" t="n"/>
      <c r="M10" s="68" t="n"/>
      <c r="N10" s="68" t="n"/>
      <c r="O10" s="68" t="n"/>
      <c r="P10" s="74" t="n"/>
      <c r="Q10" s="74" t="n"/>
      <c r="R10" s="74" t="n"/>
      <c r="S10" s="68" t="n"/>
      <c r="T10" s="68" t="n"/>
      <c r="U10" s="68" t="n"/>
      <c r="V10" s="68" t="n"/>
      <c r="W10" s="68" t="n"/>
    </row>
    <row r="11" ht="56.25" customHeight="1" s="1">
      <c r="A11" s="74" t="n">
        <v>10</v>
      </c>
      <c r="B11" s="75" t="inlineStr">
        <is>
          <t>2022年7月2日</t>
        </is>
      </c>
      <c r="C11" s="68" t="inlineStr">
        <is>
          <t>日本</t>
        </is>
      </c>
      <c r="D11" s="74" t="inlineStr">
        <is>
          <t>日本KDDI</t>
        </is>
      </c>
      <c r="E11" s="74" t="inlineStr">
        <is>
          <t>通信企业</t>
        </is>
      </c>
      <c r="F11" s="68" t="inlineStr">
        <is>
          <t>人员误操作（割接调整）</t>
        </is>
      </c>
      <c r="G11" s="68" t="inlineStr">
        <is>
          <t>承载数通</t>
        </is>
      </c>
      <c r="H11" s="68" t="inlineStr">
        <is>
          <t>信令风暴</t>
        </is>
      </c>
      <c r="I11" s="68" t="inlineStr">
        <is>
          <t>人为操作</t>
        </is>
      </c>
      <c r="J11" s="68" t="inlineStr">
        <is>
          <t>7.2凌晨1：35开始进行的核心路由器扩容升级过程中，新设备配置未能生效，业务未能有效切换，业务回退操作，操作中未进行有效流控措施，导致用户IMS注册失败，EPC网络设备严重过载。</t>
        </is>
      </c>
      <c r="K11" s="68" t="inlineStr">
        <is>
          <t>影响波及日本全境，共约3915万手机用户，相当于日本人口的1/3左右；</t>
        </is>
      </c>
      <c r="L11" s="68" t="inlineStr">
        <is>
          <t>网络服务中断60小时，</t>
        </is>
      </c>
      <c r="M11" s="68" t="n">
        <v>3600</v>
      </c>
      <c r="N11" s="68" t="n"/>
      <c r="O11" s="68" t="n"/>
      <c r="P11" s="74" t="inlineStr">
        <is>
          <t>虽容灾组网，但容灾不可靠；防业务浪涌机制不足；</t>
        </is>
      </c>
      <c r="Q11" s="74" t="inlineStr">
        <is>
          <t>设备抗信令冲击能力弱；</t>
        </is>
      </c>
      <c r="R11" s="74" t="n"/>
      <c r="S11" s="68" t="n"/>
      <c r="T11" s="68" t="n"/>
      <c r="U11" s="68" t="n"/>
      <c r="V11" s="68" t="n"/>
      <c r="W11" s="68" t="n"/>
    </row>
    <row r="12" ht="112.5" customHeight="1" s="1">
      <c r="A12" s="74" t="n">
        <v>11</v>
      </c>
      <c r="B12" s="75" t="inlineStr">
        <is>
          <t>2022年7月8日</t>
        </is>
      </c>
      <c r="C12" s="68" t="inlineStr">
        <is>
          <t>加拿大</t>
        </is>
      </c>
      <c r="D12" s="74" t="inlineStr">
        <is>
          <t xml:space="preserve">加拿大Rogers </t>
        </is>
      </c>
      <c r="E12" s="74" t="inlineStr">
        <is>
          <t>通信企业</t>
        </is>
      </c>
      <c r="F12" s="68" t="inlineStr">
        <is>
          <t>人员误操作（割接调整）</t>
        </is>
      </c>
      <c r="G12" s="68" t="inlineStr">
        <is>
          <t>承载数通</t>
        </is>
      </c>
      <c r="H12" s="68" t="inlineStr">
        <is>
          <t>信令风暴</t>
        </is>
      </c>
      <c r="I12" s="68" t="inlineStr">
        <is>
          <t>人为操作</t>
        </is>
      </c>
      <c r="J12" s="68" t="inlineStr">
        <is>
          <t>7月8日凌晨，Rogers对核心网络进行维护升级后引发路由器故障，造成流量过载，导致整个系统关闭、网络无法运行。
事故发生后，Rogers的技术人员通过更换问题软件、设备、更改网络配置、重定向流量等操作试图恢复网络。
直到7月9日下午，Rogers宣布网络和系统已接近全面恢复，断网持续约36小时。</t>
        </is>
      </c>
      <c r="K12" s="68" t="inlineStr">
        <is>
          <t>初步判定本次事故中加拿大近四分之一的网络用户受到了影响。</t>
        </is>
      </c>
      <c r="L12" s="68" t="inlineStr">
        <is>
          <t>断网持续约36小时。</t>
        </is>
      </c>
      <c r="M12" s="68" t="n">
        <v>2160</v>
      </c>
      <c r="N12" s="68" t="n"/>
      <c r="O12" s="68" t="n"/>
      <c r="P12" s="74" t="inlineStr">
        <is>
          <t>融合的IP核心网组网缺陷；</t>
        </is>
      </c>
      <c r="Q12" s="74" t="inlineStr">
        <is>
          <t>远程运维环境不可用，设备管理无逃生通道；</t>
        </is>
      </c>
      <c r="R12" s="74" t="inlineStr">
        <is>
          <t>错误删除路由器配置</t>
        </is>
      </c>
      <c r="S12" s="68" t="n"/>
      <c r="T12" s="68" t="n"/>
      <c r="U12" s="68" t="inlineStr">
        <is>
          <t>官方故障报告</t>
        </is>
      </c>
      <c r="V12" s="68" t="n"/>
      <c r="W12" s="68" t="n"/>
    </row>
    <row r="13" ht="90" customHeight="1" s="1">
      <c r="A13" s="74" t="n">
        <v>12</v>
      </c>
      <c r="B13" s="75" t="inlineStr">
        <is>
          <t>2022年8月19日</t>
        </is>
      </c>
      <c r="C13" s="68" t="inlineStr">
        <is>
          <t>巴基斯坦</t>
        </is>
      </c>
      <c r="D13" s="74" t="inlineStr">
        <is>
          <t>巴基斯坦PTCL</t>
        </is>
      </c>
      <c r="E13" s="74" t="inlineStr">
        <is>
          <t>通信企业</t>
        </is>
      </c>
      <c r="F13" s="68" t="inlineStr">
        <is>
          <t>外部环境-自然灾害</t>
        </is>
      </c>
      <c r="G13" s="68" t="inlineStr">
        <is>
          <t>光缆线路</t>
        </is>
      </c>
      <c r="H13" s="68" t="inlineStr">
        <is>
          <t>无</t>
        </is>
      </c>
      <c r="I13" s="68" t="inlineStr">
        <is>
          <t>自然灾害</t>
        </is>
      </c>
      <c r="J13" s="68" t="inlineStr">
        <is>
          <t>暴雨和洪水引发的光纤网络故障或中断造成全国性的互联网中断</t>
        </is>
      </c>
      <c r="K13" s="68" t="inlineStr">
        <is>
          <t>实时网络数据显示连接率为普通水平的39%，以首都伊斯兰堡和东部城市拉合尔(巴基斯坦第二大城市中心)为主的巴基斯坦北部和中部地区，该地区固网宽带用户和蜂窝网络用户都报告称无法接入网络。</t>
        </is>
      </c>
      <c r="L13" s="68" t="inlineStr">
        <is>
          <t>7小时</t>
        </is>
      </c>
      <c r="M13" s="68" t="n">
        <v>420</v>
      </c>
      <c r="N13" s="68" t="n"/>
      <c r="O13" s="68" t="n"/>
      <c r="P13" s="74" t="inlineStr">
        <is>
          <t>暴雨洪水</t>
        </is>
      </c>
      <c r="Q13" s="74" t="inlineStr">
        <is>
          <t>光缆中断</t>
        </is>
      </c>
      <c r="R13" s="74" t="n"/>
      <c r="S13" s="68" t="n"/>
      <c r="T13" s="68" t="n"/>
      <c r="U13" s="68" t="n"/>
      <c r="V13" s="68" t="n"/>
      <c r="W13" s="68" t="n"/>
    </row>
    <row r="14" ht="67.5" customHeight="1" s="1">
      <c r="A14" s="74" t="n">
        <v>13</v>
      </c>
      <c r="B14" s="75" t="inlineStr">
        <is>
          <t>2022年9月4日</t>
        </is>
      </c>
      <c r="C14" s="68" t="n"/>
      <c r="D14" s="74" t="inlineStr">
        <is>
          <t>日本乐天</t>
        </is>
      </c>
      <c r="E14" s="74" t="inlineStr">
        <is>
          <t>通信企业</t>
        </is>
      </c>
      <c r="F14" s="68" t="inlineStr">
        <is>
          <t>设备设施故障</t>
        </is>
      </c>
      <c r="G14" s="68" t="inlineStr">
        <is>
          <t>承载数通</t>
        </is>
      </c>
      <c r="H14" s="68" t="inlineStr">
        <is>
          <t>信令风暴</t>
        </is>
      </c>
      <c r="I14" s="68" t="inlineStr">
        <is>
          <t>设备故障（软件）</t>
        </is>
      </c>
      <c r="J14" s="68" t="inlineStr">
        <is>
          <t>因数据中心交换机出现软件Bug，同时分组交换设备发生重启后，掉线的用户终端集中大量发送“重连请求”，造成策略控制设备PCRF短时间内发生拥塞，导致发生大规模通信故障，全日本范围内大量用户无法上网和进行语音通话。</t>
        </is>
      </c>
      <c r="K14" s="68" t="inlineStr">
        <is>
          <t>用户无法上网</t>
        </is>
      </c>
      <c r="L14" s="68" t="inlineStr">
        <is>
          <t>2022年9月4日11点20分至13点26分，业务中断2.5小时</t>
        </is>
      </c>
      <c r="M14" s="68" t="n">
        <v>150</v>
      </c>
      <c r="N14" s="68" t="n"/>
      <c r="O14" s="68" t="n"/>
      <c r="P14" s="74" t="inlineStr">
        <is>
          <t xml:space="preserve">设备重启导致网络拥塞，流控机制不足
</t>
        </is>
      </c>
      <c r="Q14" s="74" t="n"/>
      <c r="R14" s="74" t="n"/>
      <c r="S14" s="68" t="n"/>
      <c r="T14" s="68" t="n"/>
      <c r="U14" s="68" t="n"/>
      <c r="V14" s="68" t="n"/>
      <c r="W14" s="68" t="n"/>
    </row>
    <row r="15" ht="56.25" customHeight="1" s="1">
      <c r="A15" s="74" t="n">
        <v>14</v>
      </c>
      <c r="B15" s="75" t="inlineStr">
        <is>
          <t>2022年10月15日</t>
        </is>
      </c>
      <c r="C15" s="68" t="inlineStr">
        <is>
          <t>韩国</t>
        </is>
      </c>
      <c r="D15" s="74" t="inlineStr">
        <is>
          <t>韩国SK 公司 C&amp;C 板桥数据中心</t>
        </is>
      </c>
      <c r="E15" s="74" t="inlineStr">
        <is>
          <t>互联网企业</t>
        </is>
      </c>
      <c r="F15" s="68" t="inlineStr">
        <is>
          <t>外部环境-火灾</t>
        </is>
      </c>
      <c r="G15" s="68" t="inlineStr">
        <is>
          <t>电源（其他)</t>
        </is>
      </c>
      <c r="H15" s="68" t="inlineStr">
        <is>
          <t>无</t>
        </is>
      </c>
      <c r="I15" s="68" t="inlineStr">
        <is>
          <t>火灾</t>
        </is>
      </c>
      <c r="J15" s="68" t="inlineStr">
        <is>
          <t>数据中心发生火灾，火灾导致停电，造成约 3.2 万个服务器瘫痪。</t>
        </is>
      </c>
      <c r="K15" s="68" t="inlineStr">
        <is>
          <t>导致包括韩国多家门户网站以及“国民聊天工具”Kakao Talk服务中断。</t>
        </is>
      </c>
      <c r="L15" s="68" t="inlineStr">
        <is>
          <t>Kakao Talk移动端部分服务在事发10多小时后才得以恢复</t>
        </is>
      </c>
      <c r="M15" s="68" t="n">
        <v>600</v>
      </c>
      <c r="N15" s="68" t="n"/>
      <c r="O15" s="68" t="n"/>
      <c r="P15" s="74" t="inlineStr">
        <is>
          <t>电气因素导致电气设备室电池周围起火</t>
        </is>
      </c>
      <c r="Q15" s="74" t="inlineStr">
        <is>
          <t>无异地备份</t>
        </is>
      </c>
      <c r="R15" s="74" t="n"/>
      <c r="S15" s="68" t="n"/>
      <c r="T15" s="68" t="n"/>
      <c r="U15" s="68" t="n"/>
      <c r="V15" s="68" t="n"/>
      <c r="W15" s="68" t="n"/>
    </row>
    <row r="16" ht="101.25" customHeight="1" s="1">
      <c r="A16" s="74" t="n">
        <v>15</v>
      </c>
      <c r="B16" s="75" t="inlineStr">
        <is>
          <t>2022年12月18日</t>
        </is>
      </c>
      <c r="C16" s="68" t="inlineStr">
        <is>
          <t>香港</t>
        </is>
      </c>
      <c r="D16" s="74" t="inlineStr">
        <is>
          <t>阿里云
香港区租赁机房PCCW</t>
        </is>
      </c>
      <c r="E16" s="74" t="inlineStr">
        <is>
          <t>互联网企业</t>
        </is>
      </c>
      <c r="F16" s="68" t="inlineStr">
        <is>
          <t>设备设施故障</t>
        </is>
      </c>
      <c r="G16" s="68" t="inlineStr">
        <is>
          <t>暖通</t>
        </is>
      </c>
      <c r="H16" s="68" t="inlineStr">
        <is>
          <t>消防喷淋</t>
        </is>
      </c>
      <c r="I16" s="68" t="inlineStr">
        <is>
          <t>暖通</t>
        </is>
      </c>
      <c r="J16" s="68" t="inlineStr">
        <is>
          <t>机房制冷设备故障引发大宕机事件，故障处理15.5小时，业务恢复超23小时</t>
        </is>
      </c>
      <c r="K16" s="68" t="inlineStr">
        <is>
          <t xml:space="preserve">
众多阿里云重要业务受到影响，澳门金融管理局、澳门银河、莲花卫视、澳门水泥厂等基础设施营运者的网站、部分证券公司平台、加密货币交易所、外卖平台、以及澳门日报等本地传媒无法被访问使用。</t>
        </is>
      </c>
      <c r="L16" s="68" t="inlineStr">
        <is>
          <t>故障处理15.5小时，业务恢复超25小时</t>
        </is>
      </c>
      <c r="M16" s="68" t="n">
        <v>1500</v>
      </c>
      <c r="N16" s="68" t="n"/>
      <c r="O16" s="68" t="n"/>
      <c r="P16" s="74" t="inlineStr">
        <is>
          <t>制冷系统主备容灾失效</t>
        </is>
      </c>
      <c r="Q16" s="74" t="inlineStr">
        <is>
          <t>处理不及时导致消防喷淋</t>
        </is>
      </c>
      <c r="R16" s="74" t="inlineStr">
        <is>
          <t>ECS等业务容灾失败</t>
        </is>
      </c>
      <c r="S16" s="68" t="n"/>
      <c r="T16" s="68" t="n"/>
      <c r="U16" s="68" t="n"/>
      <c r="V16" s="68" t="n"/>
      <c r="W16" s="68" t="n"/>
    </row>
    <row r="17" ht="33.75" customHeight="1" s="1">
      <c r="A17" s="74" t="n">
        <v>16</v>
      </c>
      <c r="B17" s="70" t="inlineStr">
        <is>
          <t>2023年2月7日</t>
        </is>
      </c>
      <c r="C17" s="68" t="inlineStr">
        <is>
          <t>缅甸</t>
        </is>
      </c>
      <c r="D17" s="68" t="inlineStr">
        <is>
          <t>MPT （KDDI在当地的合资公司）</t>
        </is>
      </c>
      <c r="E17" s="74" t="inlineStr">
        <is>
          <t>互联网企业</t>
        </is>
      </c>
      <c r="F17" s="68" t="inlineStr">
        <is>
          <t>外部环境-火灾</t>
        </is>
      </c>
      <c r="G17" s="68" t="inlineStr">
        <is>
          <t>4G EPC</t>
        </is>
      </c>
      <c r="H17" s="68" t="inlineStr">
        <is>
          <t>冗余保护失败</t>
        </is>
      </c>
      <c r="I17" s="68" t="inlineStr">
        <is>
          <t>火灾</t>
        </is>
      </c>
      <c r="J17" s="68" t="inlineStr">
        <is>
          <t>仰光MYG00093核心机房发生火灾，全国MPT网络暂时中断。</t>
        </is>
      </c>
      <c r="K17" s="68" t="inlineStr">
        <is>
          <t>导致华为北区核心网、客户国际关口局等设备下电。--全国MPT网络暂时中断。</t>
        </is>
      </c>
      <c r="L17" s="68" t="inlineStr">
        <is>
          <t>不明</t>
        </is>
      </c>
      <c r="M17" s="68" t="n"/>
      <c r="N17" s="68" t="n"/>
      <c r="O17" s="68" t="n"/>
      <c r="P17" s="68" t="inlineStr">
        <is>
          <t>机房失火</t>
        </is>
      </c>
      <c r="Q17" s="68" t="inlineStr">
        <is>
          <t>无倒换？</t>
        </is>
      </c>
      <c r="R17" s="68" t="n"/>
      <c r="S17" s="68" t="n"/>
      <c r="T17" s="68" t="n"/>
      <c r="U17" s="68" t="n"/>
      <c r="V17" s="68" t="n"/>
      <c r="W17" s="68" t="n"/>
    </row>
    <row r="18" ht="56.25" customHeight="1" s="1">
      <c r="A18" s="74" t="n">
        <v>17</v>
      </c>
      <c r="B18" s="70" t="inlineStr">
        <is>
          <t>2023年2月13日</t>
        </is>
      </c>
      <c r="C18" s="68" t="inlineStr">
        <is>
          <t>美国</t>
        </is>
      </c>
      <c r="D18" s="68" t="inlineStr">
        <is>
          <t>T-MOBILE公司</t>
        </is>
      </c>
      <c r="E18" s="74" t="inlineStr">
        <is>
          <t>通信企业</t>
        </is>
      </c>
      <c r="F18" s="68" t="inlineStr">
        <is>
          <t>设备设施故障</t>
        </is>
      </c>
      <c r="G18" s="68" t="inlineStr">
        <is>
          <t>光缆线路</t>
        </is>
      </c>
      <c r="H18" s="68" t="inlineStr">
        <is>
          <t>冗余保护失败</t>
        </is>
      </c>
      <c r="I18" s="68" t="inlineStr">
        <is>
          <t>光缆/链路故障</t>
        </is>
      </c>
      <c r="J18" s="68" t="inlineStr">
        <is>
          <t>中断从2月13日晚上10点20分左右发生，持续时间长达约3小时</t>
        </is>
      </c>
      <c r="K18" s="68" t="inlineStr">
        <is>
          <t>全美范围内发生网络中断，语音、消息、数据服务中断。超过8万名用户受到影响。洛杉矶、西雅图和纽约是受影响最严重的地区</t>
        </is>
      </c>
      <c r="L18" s="68" t="inlineStr">
        <is>
          <t>约3小时</t>
        </is>
      </c>
      <c r="M18" s="68" t="n">
        <v>180</v>
      </c>
      <c r="N18" s="68" t="n"/>
      <c r="O18" s="68" t="n"/>
      <c r="P18" s="68" t="inlineStr">
        <is>
          <t>事故或因光纤“中断问题”引起</t>
        </is>
      </c>
      <c r="Q18" s="68" t="inlineStr">
        <is>
          <t>无倒换？</t>
        </is>
      </c>
      <c r="R18" s="68" t="n"/>
      <c r="S18" s="68" t="n"/>
      <c r="T18" s="68" t="n"/>
      <c r="U18" s="68" t="n"/>
      <c r="V18" s="68" t="n"/>
      <c r="W18" s="68" t="n"/>
    </row>
    <row r="19" ht="78.75" customHeight="1" s="1">
      <c r="A19" s="74" t="n">
        <v>18</v>
      </c>
      <c r="B19" s="70" t="inlineStr">
        <is>
          <t>2023年4月3日</t>
        </is>
      </c>
      <c r="C19" s="68" t="inlineStr">
        <is>
          <t>日本</t>
        </is>
      </c>
      <c r="D19" s="68" t="inlineStr">
        <is>
          <t>NTT公司</t>
        </is>
      </c>
      <c r="E19" s="74" t="inlineStr">
        <is>
          <t>通信企业</t>
        </is>
      </c>
      <c r="F19" s="68" t="n"/>
      <c r="G19" s="68" t="n"/>
      <c r="H19" s="68" t="n"/>
      <c r="I19" s="68" t="inlineStr">
        <is>
          <t>设备故障（硬件）</t>
        </is>
      </c>
      <c r="J19" s="68" t="inlineStr">
        <is>
          <t>4月3日早晨7：10，日本电信电话公司（NTT）发生大面积互联网连接服务和光纤电话无法连接的通信故障，随后，部分地区的报警以及消防等紧急报警电话也无法正常拨打。</t>
        </is>
      </c>
      <c r="K19" s="68" t="inlineStr">
        <is>
          <t>受影响范围涵盖了整个东日本地区，包括东京、大阪等16个都道府县，受影响的服务主要为光纤网络互联网连接及通话业务，最多有44.7万条互联网连接服务出现中断。</t>
        </is>
      </c>
      <c r="L19" s="68" t="inlineStr">
        <is>
          <t>NTT西日本公司一个半小时左右；NTT东日本公司3个小时。</t>
        </is>
      </c>
      <c r="M19" s="68" t="n">
        <v>180</v>
      </c>
      <c r="N19" s="68" t="n"/>
      <c r="O19" s="68" t="n"/>
      <c r="P19" s="68" t="inlineStr">
        <is>
          <t>两边公司的辖区内共有116台“具有相同功能的通信设备” 同时发生故障。而发生故障的设备是连接互联网网络和客户的设备，来自同一家海外制造商。</t>
        </is>
      </c>
      <c r="Q19" s="68" t="n"/>
      <c r="R19" s="68" t="n"/>
      <c r="S19" s="68" t="n"/>
      <c r="T19" s="68" t="n"/>
      <c r="U19" s="68" t="n"/>
      <c r="V19" s="68" t="n"/>
      <c r="W19" s="68" t="n"/>
    </row>
    <row r="20" ht="78.75" customHeight="1" s="1">
      <c r="A20" s="74" t="n">
        <v>19</v>
      </c>
      <c r="B20" s="70" t="inlineStr">
        <is>
          <t>2023年6月5日</t>
        </is>
      </c>
      <c r="C20" s="68" t="inlineStr">
        <is>
          <t>美国</t>
        </is>
      </c>
      <c r="D20" s="68" t="inlineStr">
        <is>
          <t xml:space="preserve"> 微软Azure</t>
        </is>
      </c>
      <c r="E20" s="74" t="inlineStr">
        <is>
          <t>互联网企业</t>
        </is>
      </c>
      <c r="F20" s="68" t="inlineStr">
        <is>
          <t>外部环境-自然灾害</t>
        </is>
      </c>
      <c r="G20" s="68" t="inlineStr">
        <is>
          <t>暖通</t>
        </is>
      </c>
      <c r="H20" s="68" t="inlineStr">
        <is>
          <t>设备自动保护</t>
        </is>
      </c>
      <c r="I20" s="68" t="n"/>
      <c r="J20" s="68" t="inlineStr">
        <is>
          <t xml:space="preserve"> 2023年6月5日，微软Azure因极端高温导致数据中心冷却系统失效，触发大规模自动关机，从而引发持续超过24小时的大规模服务中断。</t>
        </is>
      </c>
      <c r="K20" s="68" t="inlineStr">
        <is>
          <t>计算服务、存储服务、
网络服务及依赖于该区域基础设施的其他云服务（如App Services, Cosmos DB等）也受到影响。</t>
        </is>
      </c>
      <c r="L20" s="68" t="inlineStr">
        <is>
          <t>UTC时间约15:30开始，持续至6月6日才完全恢复，部分影响持续超过24小时</t>
        </is>
      </c>
      <c r="M20" s="68">
        <f>24*60</f>
        <v/>
      </c>
      <c r="N20" s="68" t="n"/>
      <c r="O20" s="68" t="n"/>
      <c r="P20" s="68" t="inlineStr">
        <is>
          <t>极端高温天气，冷却系统故障与温升</t>
        </is>
      </c>
      <c r="Q20" s="68" t="inlineStr">
        <is>
          <t>自动保护机制触发</t>
        </is>
      </c>
      <c r="R20" s="68" t="inlineStr">
        <is>
          <t>容量转移与连锁反应</t>
        </is>
      </c>
      <c r="S20" s="68" t="inlineStr">
        <is>
          <t>容量冗余不足</t>
        </is>
      </c>
      <c r="T20" s="68" t="n"/>
      <c r="U20" s="68" t="n"/>
      <c r="V20" s="68" t="n"/>
      <c r="W20" s="68" t="n"/>
    </row>
    <row r="21" ht="112.5" customHeight="1" s="1">
      <c r="A21" s="74" t="n">
        <v>20</v>
      </c>
      <c r="B21" s="70" t="inlineStr">
        <is>
          <t>2023年10月28日</t>
        </is>
      </c>
      <c r="C21" s="68" t="inlineStr">
        <is>
          <t>孟加拉</t>
        </is>
      </c>
      <c r="D21" s="68" t="inlineStr">
        <is>
          <t xml:space="preserve">国家互联网交换中心（NIX） </t>
        </is>
      </c>
      <c r="E21" s="74" t="inlineStr">
        <is>
          <t>互联网企业</t>
        </is>
      </c>
      <c r="F21" s="68" t="inlineStr">
        <is>
          <t>设备引起火灾</t>
        </is>
      </c>
      <c r="G21" s="68" t="inlineStr">
        <is>
          <t>电源(UPS)</t>
        </is>
      </c>
      <c r="H21" s="68" t="n"/>
      <c r="I21" s="68" t="n"/>
      <c r="J21" s="68" t="inlineStr">
        <is>
          <t>2023年10月，孟加拉国首都达卡的一个关键网络运营中心（NOC）和数据中心发生火灾，导致全国范围内的互联网服务出现大规模中断，影响了银行、金融、移动通信乃至政府服务。</t>
        </is>
      </c>
      <c r="K21" s="68" t="inlineStr">
        <is>
          <t>由于该大楼是孟加拉国国家互联网交换中心（NIX） 的所在地，也是许多主要ISP的汇集点，火灾导致全国范围的互联网连接出现严重问题。主要移动运营商（如Grameenphone, Robi, Banglalink）的4G/5G数据服务受到影响，用户上网困难。</t>
        </is>
      </c>
      <c r="L21" s="68" t="inlineStr">
        <is>
          <t xml:space="preserve">	中断持续了超过12小时</t>
        </is>
      </c>
      <c r="M21" s="68" t="n">
        <v>720</v>
      </c>
      <c r="N21" s="68" t="n"/>
      <c r="O21" s="68" t="n"/>
      <c r="P21" s="68" t="inlineStr">
        <is>
          <t>大楼内地下室的不间断电源（UPS）系统的蓄电池组发生火灾，</t>
        </is>
      </c>
      <c r="Q21" s="68" t="n"/>
      <c r="R21" s="68" t="n"/>
      <c r="S21" s="68" t="n"/>
      <c r="T21" s="68" t="n"/>
      <c r="U21" s="68" t="n"/>
      <c r="V21" s="68" t="n"/>
      <c r="W21" s="68" t="n"/>
    </row>
    <row r="22" ht="45" customHeight="1" s="1">
      <c r="A22" s="74" t="n">
        <v>21</v>
      </c>
      <c r="B22" s="70" t="inlineStr">
        <is>
          <t>2023年11月2日</t>
        </is>
      </c>
      <c r="C22" s="68" t="inlineStr">
        <is>
          <t>美国</t>
        </is>
      </c>
      <c r="D22" s="68" t="inlineStr">
        <is>
          <t>Cloudflare</t>
        </is>
      </c>
      <c r="E22" s="74" t="inlineStr">
        <is>
          <t>互联网企业</t>
        </is>
      </c>
      <c r="F22" s="68" t="inlineStr">
        <is>
          <t>环境-停电</t>
        </is>
      </c>
      <c r="G22" s="68" t="inlineStr">
        <is>
          <t>电源(UPS)</t>
        </is>
      </c>
      <c r="H22" s="68" t="inlineStr">
        <is>
          <t>冗余保护失败</t>
        </is>
      </c>
      <c r="I22" s="68" t="inlineStr">
        <is>
          <t>电力</t>
        </is>
      </c>
      <c r="J22" s="68" t="inlineStr">
        <is>
          <t>Cloudflare公司由Flexential公司负责运营的PDX-04数据中心市电中断，UPS故障，发电机启动失败，全部数据中心无电力供给，业务影响严重</t>
        </is>
      </c>
      <c r="K22" s="68" t="inlineStr">
        <is>
          <t>主要影响Cloudflare 公司的控制平面和分析系统</t>
        </is>
      </c>
      <c r="L22" s="68" t="inlineStr">
        <is>
          <t>40小时</t>
        </is>
      </c>
      <c r="M22" s="68" t="n">
        <v>2400</v>
      </c>
      <c r="N22" s="68" t="n"/>
      <c r="O22" s="68" t="n"/>
      <c r="P22" s="68" t="inlineStr">
        <is>
          <t>数据中心断电</t>
        </is>
      </c>
      <c r="Q22" s="68" t="inlineStr">
        <is>
          <t>数据中心设计问题、备件不足</t>
        </is>
      </c>
      <c r="R22" s="68" t="inlineStr">
        <is>
          <t>沟通不畅，业务迁移出现问题</t>
        </is>
      </c>
      <c r="S22" s="68" t="inlineStr">
        <is>
          <t>产品设计不符合灾备要求</t>
        </is>
      </c>
      <c r="T22" s="68" t="n"/>
      <c r="U22" s="68" t="n"/>
      <c r="V22" s="68" t="n"/>
      <c r="W22" s="68" t="n"/>
    </row>
    <row r="23" ht="45" customHeight="1" s="1">
      <c r="A23" s="74" t="n">
        <v>22</v>
      </c>
      <c r="B23" s="70" t="inlineStr">
        <is>
          <t>2023年11月8日</t>
        </is>
      </c>
      <c r="C23" s="68" t="inlineStr">
        <is>
          <t>澳大利亚</t>
        </is>
      </c>
      <c r="D23" s="68" t="inlineStr">
        <is>
          <t>Optus</t>
        </is>
      </c>
      <c r="E23" s="74" t="inlineStr">
        <is>
          <t>通信企业</t>
        </is>
      </c>
      <c r="F23" s="68" t="inlineStr">
        <is>
          <t>割接调整</t>
        </is>
      </c>
      <c r="G23" s="68" t="inlineStr">
        <is>
          <t>承载数通</t>
        </is>
      </c>
      <c r="H23" s="68" t="inlineStr">
        <is>
          <t>配置不合理</t>
        </is>
      </c>
      <c r="I23" s="68" t="n"/>
      <c r="J23" s="68" t="inlineStr">
        <is>
          <t>2023年11月8日凌晨04:05（澳大利亚东部夏令时），澳大利亚第二大电信运营商 Optus 发生全国性网络完全中断，持续约12至14小时，是澳大利亚有史以来规模最大的电信故障事件之一。Optus 官方确认，此次故障的直接起因是一次例行软件升级（Routine Software Upgrade）。升级完成后，Optus 的网络从国际对等网络（International Peering Network）接收到了异常的路由信息更新，导致IP核心网崩溃。</t>
        </is>
      </c>
      <c r="K23" s="68" t="inlineStr">
        <is>
          <t>受影响个人用户约 1,020 万；受影响企业客户约 40 万；无法拨打000紧急电话（固话）数百通紧急呼叫失败。</t>
        </is>
      </c>
      <c r="L23" s="68" t="inlineStr">
        <is>
          <t>12-14小时</t>
        </is>
      </c>
      <c r="M23" s="68">
        <f>12*60</f>
        <v/>
      </c>
      <c r="N23" s="68" t="n"/>
      <c r="O23" s="68" t="n"/>
      <c r="P23" s="68" t="n"/>
      <c r="Q23" s="68" t="n"/>
      <c r="R23" s="68" t="n"/>
      <c r="S23" s="68" t="n"/>
      <c r="T23" s="68" t="n"/>
      <c r="U23" s="68" t="n"/>
      <c r="V23" s="68" t="inlineStr">
        <is>
          <t>Optus 官方声明</t>
        </is>
      </c>
      <c r="W23" s="68" t="n"/>
    </row>
    <row r="24" ht="112.5" customHeight="1" s="1">
      <c r="A24" s="74" t="n">
        <v>23</v>
      </c>
      <c r="B24" s="70" t="inlineStr">
        <is>
          <t>2024年2月6日</t>
        </is>
      </c>
      <c r="C24" s="68" t="inlineStr">
        <is>
          <t>美国</t>
        </is>
      </c>
      <c r="D24" s="68" t="inlineStr">
        <is>
          <t xml:space="preserve"> Bethel AV 数据中心
Mata（主要客户）</t>
        </is>
      </c>
      <c r="E24" s="74" t="inlineStr">
        <is>
          <t>互联网企业</t>
        </is>
      </c>
      <c r="F24" s="68" t="inlineStr">
        <is>
          <t>设备引起火灾</t>
        </is>
      </c>
      <c r="G24" s="68" t="inlineStr">
        <is>
          <t>电源（其他)</t>
        </is>
      </c>
      <c r="H24" s="68" t="inlineStr">
        <is>
          <t>触发消防</t>
        </is>
      </c>
      <c r="I24" s="68" t="n"/>
      <c r="J24" s="68" t="inlineStr">
        <is>
          <t>2024年2月，位于美国俄勒冈州的第三方数据中心Bethel AV数据中心因地下电缆故障引发火灾，导致该设施长时间停电，进而使得其重要租户Meta（Facebook、Instagram）的云服务中断，对全球用户产生影响。</t>
        </is>
      </c>
      <c r="K24" s="68" t="inlineStr">
        <is>
          <t>数据中心本身：火灾和喷水灭火系统导致整个设施断电，所有备用系统（包括发电机）均因断电或安全协议无法立即启动，造成长时间停机。主要客户Meta（Facebook、Instagram） 的服务器托管在该数据中心。此次中断直接导致Meta的云服务出现全球性访问问题</t>
        </is>
      </c>
      <c r="L24" s="68" t="inlineStr">
        <is>
          <t>服务中断持续了数小时。从2月6日白天开始，直到当晚才逐步恢复。Meta的服务在中断约2小时后开始恢复。</t>
        </is>
      </c>
      <c r="M24" s="68" t="n">
        <v>120</v>
      </c>
      <c r="N24" s="68" t="n"/>
      <c r="O24" s="68" t="n"/>
      <c r="P24" s="68" t="inlineStr">
        <is>
          <t>数据中心地下电气管道内的电缆故障，引发火灾和冒烟，触发了灭火系统，导致整个数据中心停电。</t>
        </is>
      </c>
      <c r="Q24" s="68" t="n"/>
      <c r="R24" s="68" t="n"/>
      <c r="S24" s="68" t="n"/>
      <c r="T24" s="68" t="n"/>
      <c r="U24" s="68" t="n"/>
      <c r="V24" s="68" t="n"/>
      <c r="W24" s="68" t="n"/>
    </row>
    <row r="25">
      <c r="A25" s="74" t="n">
        <v>24</v>
      </c>
      <c r="B25" s="70" t="inlineStr">
        <is>
          <t>2024年2月9日</t>
        </is>
      </c>
      <c r="C25" s="68" t="inlineStr">
        <is>
          <t>英国</t>
        </is>
      </c>
      <c r="D25" s="68" t="inlineStr">
        <is>
          <t>三公司</t>
        </is>
      </c>
      <c r="E25" s="74" t="inlineStr">
        <is>
          <t>通信企业</t>
        </is>
      </c>
      <c r="F25" s="68" t="n"/>
      <c r="G25" s="68" t="n"/>
      <c r="H25" s="68" t="n"/>
      <c r="I25" s="68" t="n"/>
      <c r="J25" s="68" t="inlineStr">
        <is>
          <t>英国三公司断网，仅紧急通话可用</t>
        </is>
      </c>
      <c r="K25" s="68" t="n"/>
      <c r="L25" s="68" t="n"/>
      <c r="M25" s="68" t="n"/>
      <c r="N25" s="68" t="n"/>
      <c r="O25" s="68" t="n"/>
      <c r="P25" s="68" t="n"/>
      <c r="Q25" s="68" t="n"/>
      <c r="R25" s="68" t="n"/>
      <c r="S25" s="68" t="n"/>
      <c r="T25" s="68" t="n"/>
      <c r="U25" s="68" t="n"/>
      <c r="V25" s="68" t="n"/>
      <c r="W25" s="68" t="n"/>
    </row>
    <row r="26" ht="123.75" customHeight="1" s="1">
      <c r="A26" s="74" t="n">
        <v>25</v>
      </c>
      <c r="B26" s="70" t="inlineStr">
        <is>
          <t>2024年2月22日</t>
        </is>
      </c>
      <c r="C26" s="68" t="inlineStr">
        <is>
          <t>美国</t>
        </is>
      </c>
      <c r="D26" s="68" t="inlineStr">
        <is>
          <t>AT&amp;T</t>
        </is>
      </c>
      <c r="E26" s="74" t="inlineStr">
        <is>
          <t>通信企业</t>
        </is>
      </c>
      <c r="F26" s="68" t="inlineStr">
        <is>
          <t>人员误操作（割接调整）</t>
        </is>
      </c>
      <c r="G26" s="68" t="n"/>
      <c r="H26" s="68" t="inlineStr">
        <is>
          <t>信令风暴</t>
        </is>
      </c>
      <c r="I26" s="68" t="inlineStr">
        <is>
          <t>人为操作</t>
        </is>
      </c>
      <c r="J26" s="68" t="inlineStr">
        <is>
          <t>2月22日凌晨2:42，美国AT&amp;T公司在美国所有50个州以及华盛顿特区、波多黎各和美属维尔京群岛的网络均中断，其所有移动通信用户的所有语音呼叫和5G网络，以及基于其运行的急救网络管理局（FirstNet）公共安全网络（该网络目前为超过27,000个公共安全机构的超过550万个连接提供服务，含911服务）无法使用，故障持续至少12个小时。</t>
        </is>
      </c>
      <c r="K26" s="68" t="inlineStr">
        <is>
          <t>美国AT&amp;T公司在美国所有50个州以及华盛顿特区、波多黎各和美属维尔京群岛的网络均中断，其所有移动通信用户的所有语音呼叫和5G网络，以及基于其运行的急救网络管理局（FirstNet）公共安全网络（该网络目前为超过27,000个公共安全机构的超过550万个连接提供服务，含911服务）无法使用</t>
        </is>
      </c>
      <c r="L26" s="68" t="inlineStr">
        <is>
          <t>故障持续至少12个小时。</t>
        </is>
      </c>
      <c r="M26" s="68" t="n">
        <v>720</v>
      </c>
      <c r="N26" s="68" t="n"/>
      <c r="O26" s="68" t="n"/>
      <c r="P26" s="68" t="inlineStr">
        <is>
          <t>设备扩容操作存在配置问题</t>
        </is>
      </c>
      <c r="Q26" s="68" t="inlineStr">
        <is>
          <t>操作回滚后出现信令风暴</t>
        </is>
      </c>
      <c r="R26" s="68" t="n"/>
      <c r="S26" s="68" t="n"/>
      <c r="T26" s="68" t="n"/>
      <c r="U26" s="68" t="n"/>
      <c r="V26" s="68" t="n"/>
      <c r="W26" s="68" t="n"/>
    </row>
    <row r="27" ht="90" customHeight="1" s="1">
      <c r="A27" s="74" t="n">
        <v>26</v>
      </c>
      <c r="B27" s="70" t="inlineStr">
        <is>
          <t>2024年3月15日</t>
        </is>
      </c>
      <c r="C27" s="68" t="inlineStr">
        <is>
          <t>西非</t>
        </is>
      </c>
      <c r="D27" s="68" t="inlineStr">
        <is>
          <t>多国</t>
        </is>
      </c>
      <c r="E27" s="74" t="inlineStr">
        <is>
          <t>其他</t>
        </is>
      </c>
      <c r="F27" s="68" t="inlineStr">
        <is>
          <t>外部破坏</t>
        </is>
      </c>
      <c r="G27" s="68" t="inlineStr">
        <is>
          <t>光缆线路</t>
        </is>
      </c>
      <c r="H27" s="68" t="n"/>
      <c r="I27" s="68" t="n"/>
      <c r="J27" s="68" t="inlineStr">
        <is>
          <t>3月15日，非洲大陆西海岸的海底电缆遭受严重损害，导致多个国家数百万用户的互联网服务意外中断。据初步了解，主要有包括西非电缆系统（Wacs）、MainOne、Sat-3和Ace海缆等四条海底电缆受到损害，而这些电缆是非洲电信数据传输的主要通道。</t>
        </is>
      </c>
      <c r="K27" s="68" t="inlineStr">
        <is>
          <t>十多个非洲国家出现互联网中断。这次网络中断影响非常严重，多国金融服务受到严重破坏。受影响最严重的非洲国家分别是加纳、利比里亚、贝宁和科特迪瓦，这些国家互联网连接率分别为 25%、17%、14% 和 4%。</t>
        </is>
      </c>
      <c r="L27" s="68" t="inlineStr">
        <is>
          <t>四天</t>
        </is>
      </c>
      <c r="M27" s="68">
        <f>60*24*4</f>
        <v/>
      </c>
      <c r="N27" s="68" t="n"/>
      <c r="O27" s="68" t="n"/>
      <c r="P27" s="68" t="n"/>
      <c r="Q27" s="68" t="n"/>
      <c r="R27" s="68" t="n"/>
      <c r="S27" s="68" t="n"/>
      <c r="T27" s="68" t="n"/>
      <c r="U27" s="68" t="n"/>
      <c r="V27" s="68" t="n"/>
      <c r="W27" s="68" t="n"/>
    </row>
    <row r="28" ht="22.5" customHeight="1" s="1">
      <c r="A28" s="74" t="n">
        <v>27</v>
      </c>
      <c r="B28" s="70" t="inlineStr">
        <is>
          <t>2024年4月1日</t>
        </is>
      </c>
      <c r="C28" s="68" t="inlineStr">
        <is>
          <t>芬兰</t>
        </is>
      </c>
      <c r="D28" s="68" t="inlineStr">
        <is>
          <t>Telia</t>
        </is>
      </c>
      <c r="E28" s="74" t="inlineStr">
        <is>
          <t>通信企业</t>
        </is>
      </c>
      <c r="F28" s="68" t="n"/>
      <c r="G28" s="68" t="n"/>
      <c r="H28" s="68" t="n"/>
      <c r="I28" s="68" t="inlineStr">
        <is>
          <t>未知</t>
        </is>
      </c>
      <c r="J28" s="68" t="inlineStr">
        <is>
          <t>网络中断，用户无法使用移动数据服务和固网数据服务</t>
        </is>
      </c>
      <c r="K28" s="68" t="n"/>
      <c r="L28" s="68" t="n"/>
      <c r="M28" s="68" t="n"/>
      <c r="N28" s="68" t="n"/>
      <c r="O28" s="68" t="n"/>
      <c r="P28" s="68" t="n"/>
      <c r="Q28" s="68" t="n"/>
      <c r="R28" s="68" t="n"/>
      <c r="S28" s="68" t="n"/>
      <c r="T28" s="68" t="n"/>
      <c r="U28" s="68" t="n"/>
      <c r="V28" s="68" t="n"/>
      <c r="W28" s="68" t="n"/>
    </row>
    <row r="29" ht="33.75" customHeight="1" s="1">
      <c r="A29" s="74" t="n">
        <v>28</v>
      </c>
      <c r="B29" s="70" t="inlineStr">
        <is>
          <t>2024年4月11日</t>
        </is>
      </c>
      <c r="C29" s="68" t="inlineStr">
        <is>
          <t>英国</t>
        </is>
      </c>
      <c r="D29" s="68" t="inlineStr">
        <is>
          <t>sky mobile</t>
        </is>
      </c>
      <c r="E29" s="74" t="inlineStr">
        <is>
          <t>通信企业</t>
        </is>
      </c>
      <c r="F29" s="68" t="n"/>
      <c r="G29" s="68" t="n"/>
      <c r="H29" s="68" t="n"/>
      <c r="I29" s="68" t="inlineStr">
        <is>
          <t>未知</t>
        </is>
      </c>
      <c r="J29" s="68" t="inlineStr">
        <is>
          <t>8:30左右开始全国范围断网，是本周之内第二次大规模断网，第一次长达5小时</t>
        </is>
      </c>
      <c r="K29" s="68" t="inlineStr">
        <is>
          <t>全国范围，3/4/5G服务均不可用</t>
        </is>
      </c>
      <c r="L29" s="68" t="n"/>
      <c r="M29" s="68" t="n"/>
      <c r="N29" s="68" t="n"/>
      <c r="O29" s="68" t="n"/>
      <c r="P29" s="68" t="n"/>
      <c r="Q29" s="68" t="n"/>
      <c r="R29" s="68" t="n"/>
      <c r="S29" s="68" t="n"/>
      <c r="T29" s="68" t="n"/>
      <c r="U29" s="68" t="n"/>
      <c r="V29" s="68" t="n"/>
      <c r="W29" s="68" t="n"/>
    </row>
    <row r="30" ht="112.5" customHeight="1" s="1">
      <c r="A30" s="74" t="n">
        <v>29</v>
      </c>
      <c r="B30" s="70" t="inlineStr">
        <is>
          <t>2024年5月7日</t>
        </is>
      </c>
      <c r="C30" s="68" t="inlineStr">
        <is>
          <t>印度</t>
        </is>
      </c>
      <c r="D30" s="68" t="inlineStr">
        <is>
          <t xml:space="preserve">Vodafone-Idea (Vi) </t>
        </is>
      </c>
      <c r="E30" s="74" t="inlineStr">
        <is>
          <t>通信企业</t>
        </is>
      </c>
      <c r="F30" s="68" t="inlineStr">
        <is>
          <t>设备引起火灾</t>
        </is>
      </c>
      <c r="G30" s="68" t="inlineStr">
        <is>
          <t>电源（其他)</t>
        </is>
      </c>
      <c r="H30" s="68" t="n"/>
      <c r="I30" s="68" t="n"/>
      <c r="J30" s="68" t="inlineStr">
        <is>
          <t xml:space="preserve">2024年5月7日，印度主要电信运营商Vodafone-Idea (Vi) 位于孟买的关键核心机房发生了一起 “电源设备故障” ，引发重大火灾，导致其网络在孟买及周边地区发生大规模、长时间的中断，影响了数百万用户。
</t>
        </is>
      </c>
      <c r="K30" s="68" t="inlineStr">
        <is>
          <t>Vodafone-Idea的用户遭遇了完全无服务，包括：
- 语音通话：无法拨出或接听电话。- 移动数据：4G/5G网络中断。
- 短信：无法收发。
- 企业服务：依赖Vi网络的ATM机、POS机等商业服务中断。预计受影响用户达数百万。</t>
        </is>
      </c>
      <c r="L30" s="68" t="inlineStr">
        <is>
          <t>服务中断持续了超过12小时，从5月7日白天开始，部分区域直到次日才逐步恢复。</t>
        </is>
      </c>
      <c r="M30" s="68" t="n">
        <v>720</v>
      </c>
      <c r="N30" s="68" t="n"/>
      <c r="O30" s="68" t="n"/>
      <c r="P30" s="68" t="n"/>
      <c r="Q30" s="68" t="n"/>
      <c r="R30" s="68" t="n"/>
      <c r="S30" s="68" t="n"/>
      <c r="T30" s="68" t="n"/>
      <c r="U30" s="68" t="n"/>
      <c r="V30" s="68" t="n"/>
      <c r="W30" s="68" t="n"/>
    </row>
    <row r="31" ht="101.25" customHeight="1" s="1">
      <c r="A31" s="74" t="n">
        <v>30</v>
      </c>
      <c r="B31" s="70" t="inlineStr">
        <is>
          <t>2024年9月10日</t>
        </is>
      </c>
      <c r="C31" s="68" t="inlineStr">
        <is>
          <t>新加坡</t>
        </is>
      </c>
      <c r="D31" s="68" t="inlineStr">
        <is>
          <t>阿里云</t>
        </is>
      </c>
      <c r="E31" s="74" t="inlineStr">
        <is>
          <t>互联网企业</t>
        </is>
      </c>
      <c r="F31" s="68" t="inlineStr">
        <is>
          <t>设备引起火灾</t>
        </is>
      </c>
      <c r="G31" s="68" t="inlineStr">
        <is>
          <t>电源（其他)</t>
        </is>
      </c>
      <c r="H31" s="68" t="inlineStr">
        <is>
          <t>消防喷淋</t>
        </is>
      </c>
      <c r="I31" s="68" t="n"/>
      <c r="J31" s="68" t="inlineStr">
        <is>
          <t>2024年9月10日，阿里云新加坡地域可用区C机房发生一起因锂电池爆炸引发的火灾，导致该区域网络访问和云服务异常，影响持续超30小时。</t>
        </is>
      </c>
      <c r="K31" s="68" t="inlineStr">
        <is>
          <t>阿里云新加坡节点服务中断，波及Lazada、字节跳动等托管企业，导致电商平台订单同步异常、TikTok功能故障等</t>
        </is>
      </c>
      <c r="L31" s="68" t="inlineStr">
        <is>
          <t>火势持续36小时，9月10日至12日（约72小时），核心服务中断36小时，部分业务恢复延迟至一周后</t>
        </is>
      </c>
      <c r="M31" s="68">
        <f>72*60</f>
        <v/>
      </c>
      <c r="N31" s="68" t="n"/>
      <c r="O31" s="68" t="n"/>
      <c r="P31" s="68" t="n"/>
      <c r="Q31" s="68" t="n"/>
      <c r="R31" s="68" t="n"/>
      <c r="S31" s="68" t="n"/>
      <c r="T31" s="68" t="n"/>
      <c r="U31" s="68" t="n"/>
      <c r="V31" s="68" t="n"/>
      <c r="W31" s="68" t="n"/>
    </row>
    <row r="32" ht="67.5" customHeight="1" s="1">
      <c r="A32" s="74" t="n">
        <v>31</v>
      </c>
      <c r="B32" s="70" t="inlineStr">
        <is>
          <t>2025年4月19日</t>
        </is>
      </c>
      <c r="C32" s="68" t="inlineStr">
        <is>
          <t>韩国</t>
        </is>
      </c>
      <c r="D32" s="68" t="inlineStr">
        <is>
          <t>SK电讯</t>
        </is>
      </c>
      <c r="E32" s="74" t="inlineStr">
        <is>
          <t>通信企业</t>
        </is>
      </c>
      <c r="F32" s="68" t="inlineStr">
        <is>
          <t>恶意破坏</t>
        </is>
      </c>
      <c r="G32" s="68" t="n"/>
      <c r="H32" s="68" t="n"/>
      <c r="I32" s="68" t="n"/>
      <c r="J32" s="68" t="inlineStr">
        <is>
          <t>2025年4月19日晚11时，SK电讯遭黑客攻击，黑客通过植入恶意软件，访问部分用户的USIM卡相关敏感信息。攻击者自2022年6月15日入侵系统，在23台服务器上植入25种后门程序，直到被发现。</t>
        </is>
      </c>
      <c r="K32" s="68" t="inlineStr">
        <is>
          <t>约2695万个SIM卡信息被泄露，超过该运营商2500万的总用户基数，相当于韩国近半数人口受影响。</t>
        </is>
      </c>
      <c r="L32" s="68" t="n"/>
      <c r="M32" s="68" t="n"/>
      <c r="N32" s="68" t="n"/>
      <c r="O32" s="68" t="n"/>
      <c r="P32" s="68" t="inlineStr">
        <is>
          <t>黑客攻击</t>
        </is>
      </c>
      <c r="Q32" s="68" t="n"/>
      <c r="R32" s="68" t="n"/>
      <c r="S32" s="68" t="n"/>
      <c r="T32" s="68" t="n"/>
      <c r="U32" s="68" t="n"/>
      <c r="V32" s="68" t="n"/>
      <c r="W32" s="68" t="n"/>
    </row>
    <row r="33" ht="22.5" customHeight="1" s="1">
      <c r="A33" s="74" t="n">
        <v>32</v>
      </c>
      <c r="B33" s="70" t="inlineStr">
        <is>
          <t>2025年4月28日</t>
        </is>
      </c>
      <c r="C33" s="68" t="inlineStr">
        <is>
          <t>西班牙、葡萄牙</t>
        </is>
      </c>
      <c r="D33" s="68" t="n"/>
      <c r="E33" s="74" t="inlineStr">
        <is>
          <t>通信企业</t>
        </is>
      </c>
      <c r="F33" s="68" t="inlineStr">
        <is>
          <t>环境-停电</t>
        </is>
      </c>
      <c r="G33" s="68" t="n"/>
      <c r="H33" s="68" t="n"/>
      <c r="I33" s="68" t="inlineStr">
        <is>
          <t>电力</t>
        </is>
      </c>
      <c r="J33" s="68" t="n"/>
      <c r="K33" s="68" t="inlineStr">
        <is>
          <t>互联网流量锐减</t>
        </is>
      </c>
      <c r="L33" s="68" t="n"/>
      <c r="M33" s="68" t="n"/>
      <c r="N33" s="68" t="n"/>
      <c r="O33" s="68" t="n"/>
      <c r="P33" s="68" t="inlineStr">
        <is>
          <t xml:space="preserve">全境突发大规模停电 </t>
        </is>
      </c>
      <c r="Q33" s="68" t="n"/>
      <c r="R33" s="68" t="n"/>
      <c r="S33" s="68" t="n"/>
      <c r="T33" s="68" t="n"/>
      <c r="U33" s="68" t="n"/>
      <c r="V33" s="68" t="n"/>
      <c r="W33" s="68" t="n"/>
    </row>
    <row r="34" ht="33.75" customHeight="1" s="1">
      <c r="A34" s="74" t="n">
        <v>33</v>
      </c>
      <c r="B34" s="70" t="inlineStr">
        <is>
          <t>2025年5月7日</t>
        </is>
      </c>
      <c r="C34" s="68" t="inlineStr">
        <is>
          <t>法国</t>
        </is>
      </c>
      <c r="D34" s="68" t="inlineStr">
        <is>
          <t>Free</t>
        </is>
      </c>
      <c r="E34" s="74" t="inlineStr">
        <is>
          <t>通信企业</t>
        </is>
      </c>
      <c r="F34" s="68" t="inlineStr">
        <is>
          <t>恶意破坏</t>
        </is>
      </c>
      <c r="G34" s="68" t="inlineStr">
        <is>
          <t>光缆线路</t>
        </is>
      </c>
      <c r="H34" s="68" t="n"/>
      <c r="I34" s="68" t="inlineStr">
        <is>
          <t>光缆/链路故障</t>
        </is>
      </c>
      <c r="J34" s="68" t="inlineStr">
        <is>
          <t>法国Free在南部六省网络全面瘫痪，固定和移动网络、电视、电话统统失联，远程办公、在线学习全线中断。</t>
        </is>
      </c>
      <c r="K34" s="68" t="n"/>
      <c r="L34" s="68" t="inlineStr">
        <is>
          <t>12:30-15:30</t>
        </is>
      </c>
      <c r="M34" s="68" t="n">
        <v>180</v>
      </c>
      <c r="N34" s="68" t="n"/>
      <c r="O34" s="68" t="n"/>
      <c r="P34" s="68" t="inlineStr">
        <is>
          <t>光缆遭人为精准破坏，背后甚至有极端分子参与</t>
        </is>
      </c>
      <c r="Q34" s="68" t="n"/>
      <c r="R34" s="68" t="n"/>
      <c r="S34" s="68" t="n"/>
      <c r="T34" s="68" t="n"/>
      <c r="U34" s="68" t="n"/>
      <c r="V34" s="68" t="n"/>
      <c r="W34" s="68" t="n"/>
    </row>
    <row r="35" ht="128.25" customHeight="1" s="1">
      <c r="A35" s="74" t="n">
        <v>34</v>
      </c>
      <c r="B35" s="68" t="inlineStr">
        <is>
          <t>2025年6月1-5日</t>
        </is>
      </c>
      <c r="C35" s="68" t="inlineStr">
        <is>
          <t>尼日利亚</t>
        </is>
      </c>
      <c r="D35" s="68" t="inlineStr">
        <is>
          <t>Airtel, MTN, 9Mobile, and Globacom</t>
        </is>
      </c>
      <c r="E35" s="74" t="inlineStr">
        <is>
          <t>通信企业</t>
        </is>
      </c>
      <c r="F35" s="68" t="inlineStr">
        <is>
          <t>外部破坏</t>
        </is>
      </c>
      <c r="G35" s="68" t="inlineStr">
        <is>
          <t>光缆线路</t>
        </is>
      </c>
      <c r="H35" s="68" t="n"/>
      <c r="I35" s="68" t="inlineStr">
        <is>
          <t>人为操作</t>
        </is>
      </c>
      <c r="J35" s="68" t="inlineStr">
        <is>
          <t>6月1-5日，该国连续发生7起光缆被破坏事件，影响多运营商多处业务，通话、短信、互联网服务全部瘫痪，企业运营和民众生活陷入混乱。</t>
        </is>
      </c>
      <c r="K35" s="68" t="n"/>
      <c r="L35" s="68" t="inlineStr">
        <is>
          <t>最长4小时20分钟</t>
        </is>
      </c>
      <c r="M35" s="68">
        <f>4*60+20</f>
        <v/>
      </c>
      <c r="N35" s="68" t="n"/>
      <c r="O35" s="68" t="n"/>
      <c r="P35" s="68" t="inlineStr">
        <is>
          <t>光缆被切断</t>
        </is>
      </c>
      <c r="Q35" s="68" t="n"/>
      <c r="R35" s="68" t="n"/>
      <c r="S35" s="68" t="n"/>
      <c r="T35" s="68" t="n"/>
      <c r="U35" s="68" t="n"/>
      <c r="V35" s="73" t="inlineStr">
        <is>
          <t>https://punchng.com/fibre-cuts-disrupt-telecom-services-in-nine-states/</t>
        </is>
      </c>
      <c r="W35" s="68" t="n"/>
    </row>
    <row r="36" ht="101.25" customHeight="1" s="1">
      <c r="A36" s="74" t="n">
        <v>35</v>
      </c>
      <c r="B36" s="68" t="inlineStr">
        <is>
          <t>2025年5月13-14</t>
        </is>
      </c>
      <c r="C36" s="68" t="inlineStr">
        <is>
          <t>印度</t>
        </is>
      </c>
      <c r="D36" s="68" t="inlineStr">
        <is>
          <t>Bharti Airtel</t>
        </is>
      </c>
      <c r="E36" s="74" t="inlineStr">
        <is>
          <t>通信企业</t>
        </is>
      </c>
      <c r="F36" s="68" t="n"/>
      <c r="G36" s="68" t="n"/>
      <c r="H36" s="68" t="n"/>
      <c r="I36" s="68" t="inlineStr">
        <is>
          <t>未知</t>
        </is>
      </c>
      <c r="J36" s="68" t="inlineStr">
        <is>
          <t>于恰逢晚间高峰（断网高峰时段集中在当晚19:00至21:00之间，直至次日凌晨1:05左右，网络服务才逐步恢复），数小时的服务瘫痪导致大量用户拨打电话、访问移动数据以及使用宽带服务等基本通信需求均无法得到满足，民众生活受到严重干扰，尤其在数字支付高度普及的当下，基于UPI的交易系统陷入停滞，给日常经济活动带来极大不便。</t>
        </is>
      </c>
      <c r="K36" s="68" t="inlineStr">
        <is>
          <t>泰米尔纳德邦、喀拉拉邦、新德里等地。用户报告了信号丢失、互联网服务中断等</t>
        </is>
      </c>
      <c r="L36" s="68" t="inlineStr">
        <is>
          <t>13日19:00-14日凌晨1:05</t>
        </is>
      </c>
      <c r="M36" s="68" t="n">
        <v>365</v>
      </c>
      <c r="N36" s="68" t="n"/>
      <c r="O36" s="68" t="n"/>
      <c r="P36" s="68" t="inlineStr">
        <is>
          <t>“技术问题”，未披露具体原因。可能包括网络设备（数通设备）硬件或软件故障或网络攻击、固件或驱动兼容性问题。</t>
        </is>
      </c>
      <c r="Q36" s="68" t="n"/>
      <c r="R36" s="68" t="n"/>
      <c r="S36" s="68" t="n"/>
      <c r="T36" s="68" t="n"/>
      <c r="U36" s="68" t="n"/>
      <c r="V36" s="68" t="n"/>
      <c r="W36" s="68" t="n"/>
    </row>
    <row r="37" ht="101.25" customHeight="1" s="1">
      <c r="A37" s="74" t="n">
        <v>36</v>
      </c>
      <c r="B37" s="70" t="inlineStr">
        <is>
          <t>2025年5月20日</t>
        </is>
      </c>
      <c r="C37" s="68" t="inlineStr">
        <is>
          <t>西班牙</t>
        </is>
      </c>
      <c r="D37" s="68" t="inlineStr">
        <is>
          <t>西班牙电信（telefonica)旗下的Movistar用户首当其冲，但Orange/Vodafone等其他运营商用户也报告了类似问题</t>
        </is>
      </c>
      <c r="E37" s="74" t="inlineStr">
        <is>
          <t>通信企业</t>
        </is>
      </c>
      <c r="F37" s="68" t="inlineStr">
        <is>
          <t>人员误操作（割接调整）</t>
        </is>
      </c>
      <c r="G37" s="68" t="inlineStr">
        <is>
          <t>5GC</t>
        </is>
      </c>
      <c r="H37" s="68" t="inlineStr">
        <is>
          <t>冗余保护失败</t>
        </is>
      </c>
      <c r="I37" s="68" t="inlineStr">
        <is>
          <t>人为操作</t>
        </is>
      </c>
      <c r="J37" s="68" t="inlineStr">
        <is>
          <t>当地时间2025年5月20日凌晨，西班牙发生全国性电信网络断网事件，涉及移动通信网络和固定网络。中断始于凌晨2点，并在凌晨5点左右达到了顶峰，5G与6G公众号了解到周二下午才恢复了全国范围内的通信，期间，马德里、巴塞罗那、塞维利亚、瓦伦西亚、毕尔巴鄂和马拉加等重要城市的移动通信完全瘫痪。</t>
        </is>
      </c>
      <c r="K37" s="68" t="inlineStr">
        <is>
          <t>安达卢西亚、阿拉贡、巴伦西亚、巴斯克、纳瓦拉等多个自治区的通信服务中断。
   - **服务类型**：固定电话、互联网及紧急服务热线112均受影响，部分用户无法拨打急救电话或联系医院。</t>
        </is>
      </c>
      <c r="L37" s="68" t="inlineStr">
        <is>
          <t>&gt;10小时</t>
        </is>
      </c>
      <c r="M37" s="68" t="n">
        <v>600</v>
      </c>
      <c r="N37" s="68" t="n"/>
      <c r="O37" s="68" t="n"/>
      <c r="P37" s="68" t="inlineStr">
        <is>
          <t>在BGP网络中RR客户端路由器（西班牙电信DCGW）引入RR反射路由器的路由配置导致</t>
        </is>
      </c>
      <c r="Q37" s="68" t="inlineStr">
        <is>
          <t>DCGW</t>
        </is>
      </c>
      <c r="R37" s="68" t="n"/>
      <c r="S37" s="68" t="n"/>
      <c r="T37" s="68" t="n"/>
      <c r="U37" s="68" t="n"/>
      <c r="V37" s="68" t="n"/>
      <c r="W37" s="68" t="n"/>
    </row>
    <row r="38" ht="56.25" customHeight="1" s="1">
      <c r="A38" s="74" t="n">
        <v>37</v>
      </c>
      <c r="B38" s="70" t="inlineStr">
        <is>
          <t>2025年5月22日</t>
        </is>
      </c>
      <c r="C38" s="68" t="inlineStr">
        <is>
          <t>泰国</t>
        </is>
      </c>
      <c r="D38" s="68" t="b">
        <v>1</v>
      </c>
      <c r="E38" s="74" t="inlineStr">
        <is>
          <t>通信企业</t>
        </is>
      </c>
      <c r="F38" s="68" t="inlineStr">
        <is>
          <t>设备设施故障</t>
        </is>
      </c>
      <c r="G38" s="68" t="inlineStr">
        <is>
          <t>电源（其他)</t>
        </is>
      </c>
      <c r="H38" s="68" t="n"/>
      <c r="I38" s="68" t="n"/>
      <c r="J38" s="68" t="inlineStr">
        <is>
          <t>5月22日上午，泰国知名通信运营商TrueMove H出现大范围网络中断，导致部分地区用户语音与数据服务收租，引发广泛关注。</t>
        </is>
      </c>
      <c r="K38" s="68" t="n"/>
      <c r="L38" s="68" t="inlineStr">
        <is>
          <t>上午10时左右发生故障，自11:30起陆续恢复。</t>
        </is>
      </c>
      <c r="M38" s="68" t="n">
        <v>90</v>
      </c>
      <c r="N38" s="68" t="n"/>
      <c r="O38" s="68" t="n"/>
      <c r="P38" s="68" t="inlineStr">
        <is>
          <t>位于核心网络中心的电力系统故障，该中心是整个通信服务系统的关键枢纽。</t>
        </is>
      </c>
      <c r="Q38" s="68" t="n"/>
      <c r="R38" s="68" t="n"/>
      <c r="S38" s="68" t="n"/>
      <c r="T38" s="68" t="inlineStr">
        <is>
          <t>于当日正式发布声明，说明事故原因，并公布补偿措施</t>
        </is>
      </c>
      <c r="U38" s="68" t="n"/>
      <c r="V38" s="68" t="n"/>
      <c r="W38" s="68" t="n"/>
    </row>
    <row r="39" ht="56.25" customFormat="1" customHeight="1" s="35">
      <c r="A39" s="74" t="n">
        <v>38</v>
      </c>
      <c r="B39" s="70" t="inlineStr">
        <is>
          <t>2025年5月23日</t>
        </is>
      </c>
      <c r="C39" s="68" t="inlineStr">
        <is>
          <t>美国</t>
        </is>
      </c>
      <c r="D39" s="68" t="inlineStr">
        <is>
          <t>X</t>
        </is>
      </c>
      <c r="E39" s="74" t="inlineStr">
        <is>
          <t>互联网企业</t>
        </is>
      </c>
      <c r="F39" s="68" t="inlineStr">
        <is>
          <t>设备引起火灾</t>
        </is>
      </c>
      <c r="G39" s="68" t="inlineStr">
        <is>
          <t>电源（其他)</t>
        </is>
      </c>
      <c r="H39" s="68" t="n"/>
      <c r="I39" s="68" t="n"/>
      <c r="J39" s="68" t="inlineStr">
        <is>
          <t>2025年5月，美国俄勒冈州希尔斯伯勒（Hillsboro）发生一起数据中心火灾事件，涉事数据中心为埃隆·马斯克旗下X公司（原Twitter）租用的第三方设施</t>
        </is>
      </c>
      <c r="K39" s="68" t="inlineStr">
        <is>
          <t>服务中断约10小时，未报告人员伤亡，经济损失未披露</t>
        </is>
      </c>
      <c r="L39" s="68" t="n"/>
      <c r="M39" s="68" t="n">
        <v>600</v>
      </c>
      <c r="N39" s="68" t="n"/>
      <c r="O39" s="68" t="n"/>
      <c r="P39" s="68" t="inlineStr">
        <is>
          <t>初步调查显示，火灾由锂电池组故障引发，具体细节未完全公开</t>
        </is>
      </c>
      <c r="Q39" s="68" t="n"/>
      <c r="R39" s="68" t="n"/>
      <c r="S39" s="68" t="n"/>
      <c r="T39" s="68" t="n"/>
      <c r="U39" s="68" t="n"/>
      <c r="V39" s="68" t="n"/>
      <c r="W39" s="68" t="n"/>
    </row>
    <row r="40">
      <c r="A40" s="74" t="n">
        <v>39</v>
      </c>
      <c r="B40" s="70" t="inlineStr">
        <is>
          <t>2025年6月7日</t>
        </is>
      </c>
      <c r="C40" s="68" t="inlineStr">
        <is>
          <t>朝鲜</t>
        </is>
      </c>
      <c r="D40" s="68" t="n"/>
      <c r="E40" s="74" t="inlineStr">
        <is>
          <t>通信企业</t>
        </is>
      </c>
      <c r="F40" s="68" t="n"/>
      <c r="G40" s="68" t="n"/>
      <c r="H40" s="68" t="n"/>
      <c r="I40" s="68" t="n"/>
      <c r="J40" s="68" t="n"/>
      <c r="K40" s="68" t="n"/>
      <c r="L40" s="68" t="n"/>
      <c r="M40" s="68" t="n"/>
      <c r="N40" s="68" t="n"/>
      <c r="O40" s="68" t="n"/>
      <c r="P40" s="68" t="inlineStr">
        <is>
          <t>“技术故障”</t>
        </is>
      </c>
      <c r="Q40" s="68" t="n"/>
      <c r="R40" s="68" t="n"/>
      <c r="S40" s="68" t="n"/>
      <c r="T40" s="68" t="n"/>
      <c r="U40" s="68" t="n"/>
      <c r="V40" s="68" t="n"/>
      <c r="W40" s="68" t="n"/>
    </row>
    <row r="41" ht="104.25" customHeight="1" s="1">
      <c r="A41" s="74" t="n">
        <v>40</v>
      </c>
      <c r="B41" s="70" t="inlineStr">
        <is>
          <t>2025年6月14日</t>
        </is>
      </c>
      <c r="C41" s="68" t="inlineStr">
        <is>
          <t>越南</t>
        </is>
      </c>
      <c r="D41" s="68" t="inlineStr">
        <is>
          <t>VNPT旗下Vinaphone</t>
        </is>
      </c>
      <c r="E41" s="74" t="inlineStr">
        <is>
          <t>通信企业</t>
        </is>
      </c>
      <c r="F41" s="68" t="inlineStr">
        <is>
          <t>设备设施故障</t>
        </is>
      </c>
      <c r="G41" s="68" t="inlineStr">
        <is>
          <t>5GC</t>
        </is>
      </c>
      <c r="H41" s="68" t="inlineStr">
        <is>
          <t>无</t>
        </is>
      </c>
      <c r="I41" s="68" t="n"/>
      <c r="J41" s="68" t="inlineStr">
        <is>
          <t>上午11时许，越南国有邮电集团（VNPT）旗下越南第二大移动通信运营商Vinaphone突发全国性网络中断</t>
        </is>
      </c>
      <c r="K41" s="68" t="inlineStr">
        <is>
          <t>导致超过3000万用户遭遇服务瘫痪，波及越南全境，直接影响该国近1/4用户持续超过5小时。</t>
        </is>
      </c>
      <c r="L41" s="68" t="inlineStr">
        <is>
          <t>5小时16分钟</t>
        </is>
      </c>
      <c r="M41" s="68" t="n">
        <v>316</v>
      </c>
      <c r="N41" s="68" t="n"/>
      <c r="O41" s="68" t="n"/>
      <c r="P41" s="68" t="inlineStr">
        <is>
          <t>Vinaphone表示，是由于网络出现技术故障。有越媒称，初步确定原因为交换机或客服中心系统相关系统设备（tổng đài）出现技术故障（Nguyên nhân ban đầu được xác định là do sự cố kỹ thuật tổng đài.）。作为越南国有邮电集团（VNPT）旗下的重要子公司，Vinaphone此次事故暴露出其在系统冗余与应急响应方面的不足。</t>
        </is>
      </c>
      <c r="Q41" s="68" t="inlineStr">
        <is>
          <t>目前拿到的信息是tekelec的stp一块单板挂死，重启解决</t>
        </is>
      </c>
      <c r="R41" s="68" t="n"/>
      <c r="S41" s="68" t="n"/>
      <c r="T41" s="68" t="n"/>
      <c r="U41" s="73" t="inlineStr">
        <is>
          <t>https://mp.weixin.qq.com/s/o-XL-OmzHh5zal_RnRAFGQ</t>
        </is>
      </c>
      <c r="V41" s="68" t="n"/>
      <c r="W41" s="68" t="n"/>
    </row>
    <row r="42" ht="90" customHeight="1" s="1">
      <c r="A42" s="74" t="n">
        <v>41</v>
      </c>
      <c r="B42" s="70" t="inlineStr">
        <is>
          <t>2025年6月16日</t>
        </is>
      </c>
      <c r="C42" s="68" t="inlineStr">
        <is>
          <t>印度</t>
        </is>
      </c>
      <c r="D42" s="68" t="inlineStr">
        <is>
          <t>Reliance Jio</t>
        </is>
      </c>
      <c r="E42" s="74" t="inlineStr">
        <is>
          <t>通信企业</t>
        </is>
      </c>
      <c r="F42" s="68" t="inlineStr">
        <is>
          <t>外部破坏</t>
        </is>
      </c>
      <c r="G42" s="68" t="inlineStr">
        <is>
          <t>光缆线路</t>
        </is>
      </c>
      <c r="H42" s="68" t="n"/>
      <c r="I42" s="68" t="n"/>
      <c r="J42" s="68" t="inlineStr">
        <is>
          <t>该国第一大移动通信网络运营商Reliance Jio遭遇全国性严重网络中断，
13点30分左右，因跨3省的一干光缆同时中断导致印度第一大移动通信网络运营商Reliance Jio遭遇全国性严重网络中断，移动通信网络、移动互联网服务和固网均出现严重中断</t>
        </is>
      </c>
      <c r="K42" s="68" t="inlineStr">
        <is>
          <t>导致印度德里、孟买、班加罗尔、金奈、喀拉拉邦、海得拉巴、加尔各答、科钦、昌迪加尔等许多城市的移动通信网络、移动互联网服务和 JioFiber（固网）均出现严重中断</t>
        </is>
      </c>
      <c r="L42" s="68" t="n"/>
      <c r="M42" s="68" t="n">
        <v>120</v>
      </c>
      <c r="N42" s="68" t="n"/>
      <c r="O42" s="68" t="n"/>
      <c r="P42" s="68" t="n"/>
      <c r="Q42" s="68" t="inlineStr">
        <is>
          <t>光缆中断？</t>
        </is>
      </c>
      <c r="R42" s="68" t="n"/>
      <c r="S42" s="68" t="n"/>
      <c r="T42" s="68" t="n"/>
      <c r="U42" s="68" t="n"/>
      <c r="V42" s="68" t="n"/>
      <c r="W42" s="68" t="n"/>
    </row>
    <row r="43" ht="135" customHeight="1" s="1">
      <c r="A43" s="74" t="n">
        <v>42</v>
      </c>
      <c r="B43" s="70" t="inlineStr">
        <is>
          <t>2025年7月6日</t>
        </is>
      </c>
      <c r="C43" s="68" t="inlineStr">
        <is>
          <t>印度</t>
        </is>
      </c>
      <c r="D43" s="68" t="inlineStr">
        <is>
          <t>Reliance Jio</t>
        </is>
      </c>
      <c r="E43" s="74" t="inlineStr">
        <is>
          <t>通信企业</t>
        </is>
      </c>
      <c r="F43" s="68" t="inlineStr">
        <is>
          <t>设备设施故障</t>
        </is>
      </c>
      <c r="G43" s="68" t="inlineStr">
        <is>
          <t>5GC</t>
        </is>
      </c>
      <c r="H43" s="68" t="inlineStr">
        <is>
          <t>冗余保护失败</t>
        </is>
      </c>
      <c r="I43" s="68" t="n"/>
      <c r="J43" s="68" t="inlineStr">
        <is>
          <t xml:space="preserve">
5G UDM HSS（统一数据管理-归属用户服务器）触发告警，UDM数据库服务器发生重启。
- 虚拟机（VM）UDM服务器出现 **# 处理器状态失败** 告警。
- **业务中断时间**：7月6日20:10至20:40（30分钟）。
- **站点名称**：古吉拉特邦纳罗达（Naroda, Gujrat）。
- **系统说明**：UDM为Jio自研的5G核心网统一数据管理应用。</t>
        </is>
      </c>
      <c r="K43" s="68" t="inlineStr">
        <is>
          <t>古吉拉特邦（GJ）和拉贾斯坦邦（RJ）服务区出现5G无线接通率（ASR）、无线业务成功率（RSR）及呼叫建立成功率（CSSR）指标恶化。
晚高峰，包括孟买、得力、估计拉特等大城市。</t>
        </is>
      </c>
      <c r="L43" s="68" t="inlineStr">
        <is>
          <t>7月6日19:00左右到23:00后</t>
        </is>
      </c>
      <c r="M43" s="68" t="n">
        <v>240</v>
      </c>
      <c r="N43" s="68" t="n"/>
      <c r="O43" s="68" t="n"/>
      <c r="P43" s="68" t="n"/>
      <c r="Q43" s="68" t="n"/>
      <c r="R43" s="68" t="n"/>
      <c r="S43" s="68" t="n"/>
      <c r="T43" s="68" t="n"/>
      <c r="U43" s="68" t="n"/>
      <c r="V43" s="68" t="n"/>
      <c r="W43" s="68" t="n"/>
    </row>
    <row r="44" ht="45" customHeight="1" s="1">
      <c r="A44" s="74" t="n">
        <v>43</v>
      </c>
      <c r="B44" s="70" t="inlineStr">
        <is>
          <t>2025年7月7日</t>
        </is>
      </c>
      <c r="C44" s="68" t="inlineStr">
        <is>
          <t>埃及</t>
        </is>
      </c>
      <c r="D44" s="68" t="inlineStr">
        <is>
          <t>埃及电信</t>
        </is>
      </c>
      <c r="E44" s="74" t="inlineStr">
        <is>
          <t>通信企业</t>
        </is>
      </c>
      <c r="F44" s="68" t="inlineStr">
        <is>
          <t>外部环境-火灾</t>
        </is>
      </c>
      <c r="G44" s="68" t="n"/>
      <c r="H44" s="68" t="inlineStr">
        <is>
          <t>设备断电</t>
        </is>
      </c>
      <c r="I44" s="68" t="n"/>
      <c r="J44" s="68" t="inlineStr">
        <is>
          <t>7月7日，埃及首都开罗市一座电信大楼7日晚发生火灾，导致至少4人死亡、27人受伤，大开罗地区的移动通信和互联网服务大面积中断。</t>
        </is>
      </c>
      <c r="K44" s="68" t="n"/>
      <c r="L44" s="68" t="n"/>
      <c r="M44" s="68" t="n"/>
      <c r="N44" s="68" t="n"/>
      <c r="O44" s="68" t="n"/>
      <c r="P44" s="68" t="n"/>
      <c r="Q44" s="68" t="n"/>
      <c r="R44" s="68" t="n"/>
      <c r="S44" s="68" t="n"/>
      <c r="T44" s="68" t="n"/>
      <c r="U44" s="68" t="n"/>
      <c r="V44" s="68" t="n"/>
      <c r="W44" s="68" t="n"/>
    </row>
    <row r="45" ht="67.5" customHeight="1" s="1">
      <c r="A45" s="74" t="n">
        <v>44</v>
      </c>
      <c r="B45" s="70" t="inlineStr">
        <is>
          <t>2025年7月24日</t>
        </is>
      </c>
      <c r="C45" s="68" t="inlineStr">
        <is>
          <t>英国</t>
        </is>
      </c>
      <c r="D45" s="68" t="inlineStr">
        <is>
          <t>EE/沃达丰/英国电信</t>
        </is>
      </c>
      <c r="E45" s="74" t="inlineStr">
        <is>
          <t>通信企业</t>
        </is>
      </c>
      <c r="F45" s="68" t="inlineStr">
        <is>
          <t>设备设施故障</t>
        </is>
      </c>
      <c r="G45" s="68" t="inlineStr">
        <is>
          <t>IMS</t>
        </is>
      </c>
      <c r="H45" s="68" t="n"/>
      <c r="I45" s="68" t="n"/>
      <c r="J45" s="68" t="inlineStr">
        <is>
          <t>7月24日上午11点，EE网络首先出现语音路由问题，随后沃达丰、BT相继“倒下”。信号满格，电话打不出去（数据未受影响）。官方通报事故起点是EE在语音路由系统上出了技术问题，让网络件的语音互联直接瘫痪。</t>
        </is>
      </c>
      <c r="K45" s="68" t="n"/>
      <c r="L45" s="68" t="n"/>
      <c r="M45" s="68" t="n"/>
      <c r="N45" s="68" t="n"/>
      <c r="O45" s="68" t="n"/>
      <c r="P45" s="68" t="n"/>
      <c r="Q45" s="68" t="n"/>
      <c r="R45" s="68" t="n"/>
      <c r="S45" s="68" t="n"/>
      <c r="T45" s="68" t="n"/>
      <c r="U45" s="73" t="inlineStr">
        <is>
          <t>https://baijiahao.baidu.com/s?id=1838779169484074297&amp;wfr=spider&amp;for=pc</t>
        </is>
      </c>
      <c r="V45" s="68" t="n"/>
      <c r="W45" s="68" t="n"/>
    </row>
    <row r="46" ht="225" customHeight="1" s="1">
      <c r="A46" s="74" t="n">
        <v>45</v>
      </c>
      <c r="B46" s="70" t="inlineStr">
        <is>
          <t>2025年8月4日</t>
        </is>
      </c>
      <c r="C46" s="68" t="inlineStr">
        <is>
          <t>卢森堡</t>
        </is>
      </c>
      <c r="D46" s="68" t="inlineStr">
        <is>
          <t>卢森堡国际邮政与电信公司
POST Luxembourg</t>
        </is>
      </c>
      <c r="E46" s="74" t="inlineStr">
        <is>
          <t>通信企业</t>
        </is>
      </c>
      <c r="F46" s="68" t="inlineStr">
        <is>
          <t>恶意破坏</t>
        </is>
      </c>
      <c r="G46" s="68" t="inlineStr">
        <is>
          <t>承载数通</t>
        </is>
      </c>
      <c r="H46" s="68" t="inlineStr">
        <is>
          <t>无</t>
        </is>
      </c>
      <c r="I46" s="68" t="n"/>
      <c r="J46" s="68" t="inlineStr">
        <is>
          <t>卢森堡国家通信网络开始出现异常。起初，卢森堡国家邮政与电信公司POST Luxembourg将原因归结为技术故障：一项新的系统配置操作导致5G核心网络系统出现问题。当系统自动切换到2G网络时，由于带宽和设备容量不足，引发了大规模网络过载，最终导致包括语音通话、短信、数据服务在内的多级连锁瘫痪。
在服务恢复后，卢森堡国家网络安全局与POST Luxembourg联合发布声明：“这是一起高度复杂的、前所未有的网络攻击”，其目的并非窃取数据，而是通过破坏系统配置和信号路由来阻断全国通信。
调查人员发现，攻击者精准利用了POST Luxembourg用于连接各通信节点的标准化软件中的漏洞。这些软件部署在包括HW企业级路由器在内的设备中，攻击者巧妙地避开了硬件本身的安全防护。</t>
        </is>
      </c>
      <c r="K46" s="68" t="inlineStr">
        <is>
          <t>这场大规模中断持续了数小时，造成社会生活和公共安全严重混乱。</t>
        </is>
      </c>
      <c r="L46" s="68" t="inlineStr">
        <is>
          <t>数小时</t>
        </is>
      </c>
      <c r="M46" s="68" t="n"/>
      <c r="N46" s="68" t="n"/>
      <c r="O46" s="68" t="n"/>
      <c r="P46" s="68" t="n"/>
      <c r="Q46" s="68" t="n"/>
      <c r="R46" s="68" t="n"/>
      <c r="S46" s="68" t="n"/>
      <c r="T46" s="68" t="n"/>
      <c r="U46" s="73" t="inlineStr">
        <is>
          <t>https://mp.weixin.qq.com/s/OwA-d6aH051huuh_6_yR_g?click_id=1</t>
        </is>
      </c>
      <c r="V46" s="68" t="n"/>
      <c r="W46" s="68" t="n"/>
    </row>
    <row r="47" ht="56.25" customHeight="1" s="1">
      <c r="A47" s="74" t="n">
        <v>46</v>
      </c>
      <c r="B47" s="70" t="inlineStr">
        <is>
          <t>2025年9月15日</t>
        </is>
      </c>
      <c r="C47" s="68" t="inlineStr">
        <is>
          <t>美国</t>
        </is>
      </c>
      <c r="D47" s="68" t="inlineStr">
        <is>
          <t>星链</t>
        </is>
      </c>
      <c r="E47" s="74" t="inlineStr">
        <is>
          <t>通信企业</t>
        </is>
      </c>
      <c r="F47" s="68" t="inlineStr">
        <is>
          <t>软件故障</t>
        </is>
      </c>
      <c r="G47" s="68" t="n"/>
      <c r="H47" s="68" t="n"/>
      <c r="I47" s="68" t="n"/>
      <c r="J47" s="68" t="inlineStr">
        <is>
          <t>9月15日凌晨，星链用户突然无法连接网络。</t>
        </is>
      </c>
      <c r="K47" s="68" t="inlineStr">
        <is>
          <t>在美国，服务中断影响了超过4.3万用户。这些用户主要集中在东海岸和中西部地区，农村和偏远地区用户受到的影响最大。</t>
        </is>
      </c>
      <c r="L47" s="68" t="inlineStr">
        <is>
          <t>大约2.5小时</t>
        </is>
      </c>
      <c r="M47" s="68" t="n">
        <v>150</v>
      </c>
      <c r="N47" s="68" t="n"/>
      <c r="O47" s="68" t="n"/>
      <c r="P47" s="68" t="n"/>
      <c r="Q47" s="68" t="n"/>
      <c r="R47" s="68" t="n"/>
      <c r="S47" s="68" t="n"/>
      <c r="T47" s="68" t="n"/>
      <c r="U47" s="68" t="n"/>
      <c r="V47" s="68" t="n"/>
      <c r="W47" s="68" t="n"/>
    </row>
    <row r="48" ht="56.25" customHeight="1" s="1">
      <c r="A48" s="74" t="n">
        <v>47</v>
      </c>
      <c r="B48" s="70" t="inlineStr">
        <is>
          <t>2025年9月18日</t>
        </is>
      </c>
      <c r="C48" s="68" t="inlineStr">
        <is>
          <t>澳大利亚</t>
        </is>
      </c>
      <c r="D48" s="68" t="inlineStr">
        <is>
          <t>奥普图斯（澳第二大）</t>
        </is>
      </c>
      <c r="E48" s="74" t="inlineStr">
        <is>
          <t>通信企业</t>
        </is>
      </c>
      <c r="F48" s="68" t="inlineStr">
        <is>
          <t>割接调整</t>
        </is>
      </c>
      <c r="G48" s="68" t="inlineStr">
        <is>
          <t>承载数通</t>
        </is>
      </c>
      <c r="H48" s="68" t="inlineStr">
        <is>
          <t>未及时发现</t>
        </is>
      </c>
      <c r="I48" s="68" t="n"/>
      <c r="J48" s="68" t="inlineStr">
        <is>
          <t>澳大利亚第二大电信运营商——奥普图斯通信公司发生长达13小时的通信网络故障</t>
        </is>
      </c>
      <c r="K48" s="68" t="inlineStr">
        <is>
          <t>故障于18日凌晨开始，影响范围包括南澳大利亚州、西澳大利亚州和北领地区。导致紧急呼叫服务一度中断，造成4人死亡。</t>
        </is>
      </c>
      <c r="L48" s="68" t="inlineStr">
        <is>
          <t>13小时</t>
        </is>
      </c>
      <c r="M48" s="68">
        <f>60*13</f>
        <v/>
      </c>
      <c r="N48" s="68" t="n"/>
      <c r="O48" s="68" t="n"/>
      <c r="P48" s="68" t="inlineStr">
        <is>
          <t>故障发生在一次常规网络防火墙升级期间，最初监测并未显示通信中断，报警系统也未发出警告。</t>
        </is>
      </c>
      <c r="Q48" s="68" t="n"/>
      <c r="R48" s="68" t="n"/>
      <c r="S48" s="68" t="n"/>
      <c r="T48" s="68" t="inlineStr">
        <is>
          <t>CEO道歉</t>
        </is>
      </c>
      <c r="U48" s="68" t="n"/>
      <c r="V48" s="68" t="n"/>
      <c r="W48" s="68" t="n"/>
    </row>
    <row r="49" ht="67.5" customHeight="1" s="1">
      <c r="A49" s="74" t="n">
        <v>48</v>
      </c>
      <c r="B49" s="70" t="inlineStr">
        <is>
          <t>2025年9月26日</t>
        </is>
      </c>
      <c r="C49" s="68" t="inlineStr">
        <is>
          <t>韩国</t>
        </is>
      </c>
      <c r="D49" s="68" t="inlineStr">
        <is>
          <t>国家数据中心</t>
        </is>
      </c>
      <c r="E49" s="74" t="inlineStr">
        <is>
          <t>政府机构</t>
        </is>
      </c>
      <c r="F49" s="68" t="inlineStr">
        <is>
          <t>割接调整</t>
        </is>
      </c>
      <c r="G49" s="68" t="inlineStr">
        <is>
          <t>电源(UPS)</t>
        </is>
      </c>
      <c r="H49" s="68" t="inlineStr">
        <is>
          <t>设备断电</t>
        </is>
      </c>
      <c r="I49" s="68" t="n"/>
      <c r="J49" s="68" t="inlineStr">
        <is>
          <t>当地时间26日20时15分左右，韩国国家情报资源管理院大田总院5楼电算室发生火灾。近10小时后，消防部门扑灭火势。根据初步调查，工作人员在转移不间断电源（UPS）电池中，其中一个电池突然起火，并引发火情。</t>
        </is>
      </c>
      <c r="K49" s="68" t="inlineStr">
        <is>
          <t>导致647个政府业务系统停止运行</t>
        </is>
      </c>
      <c r="L49" s="68" t="inlineStr">
        <is>
          <t>10小时</t>
        </is>
      </c>
      <c r="M49" s="68" t="n">
        <v>600</v>
      </c>
      <c r="N49" s="68" t="n"/>
      <c r="O49" s="68" t="n"/>
      <c r="P49" s="68" t="inlineStr">
        <is>
          <t>消防官员说，火灾是由大楼五楼的锂离子电池引起的。</t>
        </is>
      </c>
      <c r="Q49" s="68" t="inlineStr">
        <is>
          <t>为了保护信息系统、防止服务器急剧加热，行政安全部方面切断了所有服务器的电源</t>
        </is>
      </c>
      <c r="R49" s="68" t="n"/>
      <c r="S49" s="68" t="n"/>
      <c r="T49" s="68" t="inlineStr">
        <is>
          <t>总理道歉</t>
        </is>
      </c>
      <c r="U49" s="68" t="n"/>
      <c r="V49" s="68" t="n"/>
      <c r="W49" s="68" t="n"/>
    </row>
    <row r="50" ht="33.75" customHeight="1" s="1">
      <c r="A50" s="74" t="n">
        <v>49</v>
      </c>
      <c r="B50" s="70" t="inlineStr">
        <is>
          <t>2025年10月9日</t>
        </is>
      </c>
      <c r="C50" s="68" t="inlineStr">
        <is>
          <t>美国</t>
        </is>
      </c>
      <c r="D50" s="68" t="inlineStr">
        <is>
          <t>Verizon</t>
        </is>
      </c>
      <c r="E50" s="74" t="inlineStr">
        <is>
          <t>通信企业</t>
        </is>
      </c>
      <c r="F50" s="68" t="n"/>
      <c r="G50" s="68" t="n"/>
      <c r="H50" s="68" t="n"/>
      <c r="I50" s="68" t="n"/>
      <c r="J50" s="68" t="inlineStr">
        <is>
          <t>10月9日凌晨，北卡罗来纳州夏洛特地区曾发生峰值1244起的故障报告，当时公司仅笼统回应“已定位解决问题”。</t>
        </is>
      </c>
      <c r="K50" s="68" t="n"/>
      <c r="L50" s="68" t="n"/>
      <c r="M50" s="68" t="n"/>
      <c r="N50" s="68" t="n"/>
      <c r="O50" s="68" t="n"/>
      <c r="P50" s="68" t="n"/>
      <c r="Q50" s="68" t="n"/>
      <c r="R50" s="68" t="n"/>
      <c r="S50" s="68" t="n"/>
      <c r="T50" s="68" t="n"/>
      <c r="U50" s="68" t="n"/>
      <c r="V50" s="68" t="n"/>
      <c r="W50" s="68" t="n"/>
    </row>
    <row r="51" ht="85.5" customHeight="1" s="1">
      <c r="A51" s="74" t="n">
        <v>50</v>
      </c>
      <c r="B51" s="70" t="inlineStr">
        <is>
          <t>2025年10月17日</t>
        </is>
      </c>
      <c r="C51" s="68" t="inlineStr">
        <is>
          <t>美国</t>
        </is>
      </c>
      <c r="D51" s="68" t="inlineStr">
        <is>
          <t>Verizon</t>
        </is>
      </c>
      <c r="E51" s="74" t="inlineStr">
        <is>
          <t>通信企业</t>
        </is>
      </c>
      <c r="F51" s="68" t="n"/>
      <c r="G51" s="68" t="n"/>
      <c r="H51" s="68" t="n"/>
      <c r="I51" s="68" t="n"/>
      <c r="J51" s="68" t="inlineStr">
        <is>
          <t>当地时间10月17日凌晨，美国最大移动通信服务商Verizon的全国性网络瘫痪</t>
        </is>
      </c>
      <c r="K51" s="68" t="inlineStr">
        <is>
          <t>故障范围覆盖全美50个州，纽约市、波士顿、华盛顿特区等大城市成为重灾区。用户反馈中，52%遭遇手机服务异常，40%信号完全中断，8%的5G家庭互联网用户无法联网。</t>
        </is>
      </c>
      <c r="L51" s="68" t="inlineStr">
        <is>
          <t>0:20开始，至9:07</t>
        </is>
      </c>
      <c r="M51" s="68">
        <f>9*60-13</f>
        <v/>
      </c>
      <c r="N51" s="68" t="n"/>
      <c r="O51" s="68" t="n"/>
      <c r="P51" s="68" t="n"/>
      <c r="Q51" s="68" t="n"/>
      <c r="R51" s="68" t="n"/>
      <c r="S51" s="68" t="n"/>
      <c r="T51" s="68" t="n"/>
      <c r="U51" s="68" t="n"/>
      <c r="V51" s="73" t="inlineStr">
        <is>
          <t>https://mp.weixin.qq.com/s/r9S1EZA1XXjv78i5YcmP1w</t>
        </is>
      </c>
      <c r="W51" s="68" t="n"/>
    </row>
    <row r="52" ht="99.75" customHeight="1" s="1">
      <c r="A52" s="74" t="n">
        <v>51</v>
      </c>
      <c r="B52" s="70" t="inlineStr">
        <is>
          <t>2025年10月20日</t>
        </is>
      </c>
      <c r="C52" s="68" t="inlineStr">
        <is>
          <t>美国</t>
        </is>
      </c>
      <c r="D52" s="68" t="inlineStr">
        <is>
          <t>Amazon/AWS</t>
        </is>
      </c>
      <c r="E52" s="74" t="inlineStr">
        <is>
          <t>互联网企业</t>
        </is>
      </c>
      <c r="F52" s="68" t="inlineStr">
        <is>
          <t>软件故障</t>
        </is>
      </c>
      <c r="G52" s="68" t="inlineStr">
        <is>
          <t>DNS</t>
        </is>
      </c>
      <c r="H52" s="68" t="n"/>
      <c r="I52" s="68" t="n"/>
      <c r="J52" s="68" t="inlineStr">
        <is>
          <t>2025 年 10 月 20 日，AWS 美国东部（弗吉尼亚北部）数据中心区域 US-EAST-1 出现重大服务故障，导致全球多家互联网服务与应用大面积中断。</t>
        </is>
      </c>
      <c r="K52" s="68" t="inlineStr">
        <is>
          <t>US-EAST-1 是 AWS 最早投入运营、资源最多、客户最多的区域之一。许多企业将其作为主区域或关键备份区域。受此次中断影响的服务类型涵盖社交、游戏、金融、智能家居、流媒体等多个领域。</t>
        </is>
      </c>
      <c r="L52" s="68" t="inlineStr">
        <is>
          <t>12小时</t>
        </is>
      </c>
      <c r="M52" s="68">
        <f>12*60</f>
        <v/>
      </c>
      <c r="N52" s="68" t="n"/>
      <c r="O52" s="68" t="n"/>
      <c r="P52" s="68" t="inlineStr">
        <is>
          <t xml:space="preserve"> DynamoDB 的自动化 DNS 管理系统中的一个竞态条件导致该服务区域端点的 DNS 记录为空。</t>
        </is>
      </c>
      <c r="Q52" s="68" t="n"/>
      <c r="R52" s="68" t="n"/>
      <c r="S52" s="68" t="n"/>
      <c r="T52" s="68" t="n"/>
      <c r="U52" s="68" t="n"/>
      <c r="V52" s="73" t="inlineStr">
        <is>
          <t>https://mp.weixin.qq.com/s/ZYnA-K7rHtvMDj58tCOsnQ</t>
        </is>
      </c>
      <c r="W52" s="73" t="inlineStr">
        <is>
          <t>https://mp.weixin.qq.com/s/2xvlIlN4LqYqfOxSnyiHiw</t>
        </is>
      </c>
    </row>
    <row r="53" ht="99.75" customHeight="1" s="1">
      <c r="A53" s="74" t="n">
        <v>52</v>
      </c>
      <c r="B53" s="70" t="inlineStr">
        <is>
          <t>2025年10月30日</t>
        </is>
      </c>
      <c r="C53" s="68" t="inlineStr">
        <is>
          <t>美国</t>
        </is>
      </c>
      <c r="D53" s="68" t="inlineStr">
        <is>
          <t>微软/Azure</t>
        </is>
      </c>
      <c r="E53" s="74" t="inlineStr">
        <is>
          <t>互联网企业</t>
        </is>
      </c>
      <c r="F53" s="68" t="inlineStr">
        <is>
          <t>人员误操作（日常维护）</t>
        </is>
      </c>
      <c r="G53" s="68" t="n"/>
      <c r="H53" s="68" t="n"/>
      <c r="I53" s="68" t="n"/>
      <c r="J53" s="68" t="inlineStr">
        <is>
          <t>2025 年 10 月 30 日，微软 Azure 云服务中断，导致包括阿拉斯加航空、Xbox 用户和 Microsoft 365 订阅用户在内的全球客户运营受到影响</t>
        </is>
      </c>
      <c r="K53" s="68" t="inlineStr">
        <is>
          <t>包括阿拉斯加航空、Xbox 用户和 Microsoft 365 订阅用户在内的全球客户运营受到影响</t>
        </is>
      </c>
      <c r="L53" s="68" t="inlineStr">
        <is>
          <t xml:space="preserve">2025 年 10 月 29 日 15:45 UTC 至 10 月 30 日 00:05 UTC </t>
        </is>
      </c>
      <c r="M53" s="68">
        <f>8*60+20</f>
        <v/>
      </c>
      <c r="N53" s="68" t="n"/>
      <c r="O53" s="68" t="n"/>
      <c r="P53" s="68" t="inlineStr">
        <is>
          <t>事件起因是一次无意的租户配置变更，该变更在 Azure Front Door 内部触发了大范围服务中断，影响了依赖 AFD 进行全球内容分发的微软服务和客户应用。</t>
        </is>
      </c>
      <c r="Q53" s="68" t="inlineStr">
        <is>
          <t>本应阻止错误部署的防护机制因一个软件缺陷而失效，使该部署绕过了安全验证。</t>
        </is>
      </c>
      <c r="R53" s="68" t="n"/>
      <c r="S53" s="68" t="n"/>
      <c r="T53" s="68" t="n"/>
      <c r="U53" s="68" t="n"/>
      <c r="V53" s="73" t="inlineStr">
        <is>
          <t>https://mp.weixin.qq.com/s/qcQyTWMb4SWl93_840xJXw</t>
        </is>
      </c>
      <c r="W53" s="68" t="n"/>
    </row>
    <row r="54" ht="99.75" customHeight="1" s="1">
      <c r="A54" s="74" t="n">
        <v>53</v>
      </c>
      <c r="B54" s="70" t="inlineStr">
        <is>
          <t>2025年11月18日</t>
        </is>
      </c>
      <c r="C54" s="68" t="inlineStr">
        <is>
          <t>美国</t>
        </is>
      </c>
      <c r="D54" s="68" t="inlineStr">
        <is>
          <t>Cloudflare</t>
        </is>
      </c>
      <c r="E54" s="74" t="inlineStr">
        <is>
          <t>互联网企业</t>
        </is>
      </c>
      <c r="F54" s="68" t="inlineStr">
        <is>
          <t>人员误操作（日常维护）</t>
        </is>
      </c>
      <c r="G54" s="68" t="n"/>
      <c r="H54" s="68" t="n"/>
      <c r="I54" s="68" t="n"/>
      <c r="J54" s="68" t="inlineStr">
        <is>
          <t>Cloudflare 11月18日发生6小时全球断网，波及ChatGPT、X等平台。起因是ClickHouse权限变更导致反爬特征文件翻倍，超出系统限制。团队14:30恢复核心服务，17:06全面恢复。此次故障暴露了云服务"复杂度诅咒"问题，小型配置变更可能引发连锁反应。</t>
        </is>
      </c>
      <c r="K54" s="68" t="inlineStr">
        <is>
          <t>正常的核心网络流量无法传输，长达六个小时。 ChatGPT、X（前 Twitter）、Spotify、Uber 等在内的众多知名互联网服务在全球范围内无法访问。“互联网10%的网站失效”</t>
        </is>
      </c>
      <c r="L54" s="68" t="inlineStr">
        <is>
          <t>2025年11月18日11:20UTC-14:30核心流量回复-17:06全部恢复</t>
        </is>
      </c>
      <c r="M54" s="68">
        <f>6*60-14</f>
        <v/>
      </c>
      <c r="N54" s="68" t="n"/>
      <c r="O54" s="68" t="n"/>
      <c r="P54" s="68" t="inlineStr">
        <is>
          <t>修改了 ClickHouse 的权限，导致生成的反爬特征太大，撑爆了路由网络流量的软件的限制，导致大量流量被标记为爬虫而被Ban。</t>
        </is>
      </c>
      <c r="Q54" s="68" t="n"/>
      <c r="R54" s="68" t="n"/>
      <c r="S54" s="68" t="n"/>
      <c r="T54" s="68" t="n"/>
      <c r="U54" s="68" t="n"/>
      <c r="V54" s="73" t="inlineStr">
        <is>
          <t>https://mp.weixin.qq.com/s/mss2hRqAxCF7N3kPLQ8_7g</t>
        </is>
      </c>
      <c r="W54" s="73" t="inlineStr">
        <is>
          <t>https://blog.cloudflare.com/18-november-2025-outage/</t>
        </is>
      </c>
    </row>
    <row r="55" ht="99.75" customHeight="1" s="1">
      <c r="A55" s="74" t="n">
        <v>54</v>
      </c>
      <c r="B55" s="70" t="inlineStr">
        <is>
          <t>2026年1月15日</t>
        </is>
      </c>
      <c r="C55" s="68" t="inlineStr">
        <is>
          <t>美国</t>
        </is>
      </c>
      <c r="D55" s="68" t="inlineStr">
        <is>
          <t>Verizon</t>
        </is>
      </c>
      <c r="E55" s="74" t="inlineStr">
        <is>
          <t>通信企业</t>
        </is>
      </c>
      <c r="F55" s="68" t="n"/>
      <c r="G55" s="68" t="n"/>
      <c r="H55" s="68" t="n"/>
      <c r="I55" s="68" t="n"/>
      <c r="J55" s="68" t="inlineStr">
        <is>
          <t>故障始于美国东部时间周三上午9点后不久，包括纽约、洛杉矶、芝加哥、波士顿、华盛顿特区、亚特兰大、夏洛特、休斯顿和达拉斯等在内的美国主要城市的用户报告信号完全丢失、通话失败和移动数据连接中断，用户投诉源源不断。</t>
        </is>
      </c>
      <c r="K55" s="68" t="n"/>
      <c r="L55" s="68" t="n"/>
      <c r="M55" s="68" t="n"/>
      <c r="N55" s="68" t="n"/>
      <c r="O55" s="68" t="n"/>
      <c r="P55" s="68" t="n"/>
      <c r="Q55" s="68" t="n"/>
      <c r="R55" s="68" t="n"/>
      <c r="S55" s="68" t="n"/>
      <c r="T55" s="68" t="n"/>
      <c r="U55" s="68" t="n"/>
      <c r="V55" s="73" t="inlineStr">
        <is>
          <t>https://mp.weixin.qq.com/s/DqRoty0SisKMwOeRncdqww</t>
        </is>
      </c>
      <c r="W55" s="68" t="n"/>
    </row>
    <row r="56" ht="112.5" customHeight="1" s="1">
      <c r="A56" s="74" t="n">
        <v>55</v>
      </c>
      <c r="B56" s="70" t="inlineStr">
        <is>
          <t>2026年2月7日</t>
        </is>
      </c>
      <c r="C56" s="68" t="inlineStr">
        <is>
          <t>美国</t>
        </is>
      </c>
      <c r="D56" s="68" t="inlineStr">
        <is>
          <t>微软/Azure</t>
        </is>
      </c>
      <c r="E56" s="68" t="inlineStr">
        <is>
          <t>互联网企业</t>
        </is>
      </c>
      <c r="F56" s="68" t="inlineStr">
        <is>
          <t>设备设施故障</t>
        </is>
      </c>
      <c r="G56" s="68" t="inlineStr">
        <is>
          <t>电源(其他)</t>
        </is>
      </c>
      <c r="H56" s="68" t="inlineStr">
        <is>
          <t>冗余保护失败</t>
        </is>
      </c>
      <c r="I56" s="68" t="n"/>
      <c r="J56" s="68" t="inlineStr">
        <is>
          <t>Azure云服务美西区域部分服务在2月7日早8点遭遇断电，全天存在不同程度的中断或性能下降。直至2月8日03:42，将负载切回市电，整体事件在04:24 左右宣布缓解，Azure云服务逐渐恢复正常。</t>
        </is>
      </c>
      <c r="K56" s="68" t="n"/>
      <c r="L56" s="68" t="inlineStr">
        <is>
          <t>2026年2月7日07:58 UTC-2月8日04:24 UTC</t>
        </is>
      </c>
      <c r="M56" s="68">
        <f>20*60+26</f>
        <v/>
      </c>
      <c r="N56" s="68" t="n"/>
      <c r="O56" s="68" t="n"/>
      <c r="P56" s="68" t="inlineStr">
        <is>
          <t>事故起因于该区域某座数据中心的一台现场变压器发生电气故障。虽然当时公共电网整体供电正常，但该核心电力节点的损坏直接切断了数据中心设施的市电输入。根据微软事后发布的Azure Status报告，事件始于UTC时间07:58，数据中心部分区域瞬间失电。</t>
        </is>
      </c>
      <c r="Q56" s="68" t="inlineStr">
        <is>
          <t>此次事故外部断电只是诱因，微软数据中心本次事故中还遭遇了极其罕见的“级联故障”。在市电消失后的关键窗口期，数据中心电力控制系统出现逻辑错误，阻止了负载从市电自动切换至发电机供电。在发电机未能及时介入的情况下，UPS电池组独自在超高功耗的算力环境下负重前行，仅维持了约6分钟便告耗尽，最终导致该设施发生全面断电（Total Power Loss）。</t>
        </is>
      </c>
      <c r="R56" s="68" t="n"/>
      <c r="S56" s="68" t="n"/>
      <c r="T56" s="68" t="n"/>
      <c r="U56" s="68" t="n"/>
      <c r="V56" s="73" t="inlineStr">
        <is>
          <t>https://mp.weixin.qq.com/s/NRCEELsUMEdumnHH31l99g</t>
        </is>
      </c>
      <c r="W56" s="68" t="n"/>
    </row>
    <row r="57" ht="65" customHeight="1" s="1">
      <c r="A57" s="74" t="n">
        <v>56</v>
      </c>
      <c r="B57" s="70" t="inlineStr">
        <is>
          <t>2026年3月1日</t>
        </is>
      </c>
      <c r="C57" s="68" t="inlineStr">
        <is>
          <t>阿联酋/巴林</t>
        </is>
      </c>
      <c r="D57" s="68" t="inlineStr">
        <is>
          <t>微软/Azure</t>
        </is>
      </c>
      <c r="E57" s="68" t="inlineStr">
        <is>
          <t>互联网企业</t>
        </is>
      </c>
      <c r="F57" s="68" t="inlineStr">
        <is>
          <t>外部破坏</t>
        </is>
      </c>
      <c r="G57" s="68" t="inlineStr">
        <is>
          <t>电源(其他)</t>
        </is>
      </c>
      <c r="H57" s="68" t="n"/>
      <c r="I57" s="68" t="n"/>
      <c r="J57" s="68" t="inlineStr">
        <is>
          <t>AWS在中东的9个AZ中，阿联酋和巴林的3个遭到军事打击，被伊朗无人机击中（直接命中、停电、或附近遭打击）导致瘫痪。</t>
        </is>
      </c>
      <c r="K57" s="68" t="inlineStr">
        <is>
          <t>阿联酋地区38项AWS服务收到影响，核心服务全线中断；巴林区域46项AWS服务出现故障，电力和网络连接中断。</t>
        </is>
      </c>
      <c r="L57" s="68" t="inlineStr">
        <is>
          <t>2026年3月1日-</t>
        </is>
      </c>
      <c r="M57" s="68" t="n"/>
      <c r="N57" s="68" t="n"/>
      <c r="O57" s="68" t="n"/>
      <c r="P57" s="68" t="inlineStr">
        <is>
          <t>遭伊朗无人机打击</t>
        </is>
      </c>
      <c r="Q57" s="68" t="inlineStr">
        <is>
          <t>电力失效</t>
        </is>
      </c>
      <c r="R57" s="68" t="inlineStr">
        <is>
          <t>无法进入修复</t>
        </is>
      </c>
      <c r="S57" s="68" t="n"/>
      <c r="T57" s="68" t="n"/>
      <c r="U57" s="68" t="inlineStr">
        <is>
          <t>【待更新】微软未发布事故报告或RCA；Azure可用区恢复完整时间线未披露</t>
        </is>
      </c>
      <c r="V57" s="68" t="n"/>
      <c r="W57" s="68" t="n"/>
    </row>
    <row r="58" ht="185.25" customHeight="1" s="1">
      <c r="A58" s="74" t="n">
        <v>57</v>
      </c>
      <c r="B58" s="70" t="inlineStr">
        <is>
          <t>2026年5月7日</t>
        </is>
      </c>
      <c r="C58" s="68" t="inlineStr">
        <is>
          <t>荷兰阿尔梅勒</t>
        </is>
      </c>
      <c r="D58" s="68" t="inlineStr">
        <is>
          <t>NorthC Datacenters/Keppel DC REIT</t>
        </is>
      </c>
      <c r="E58" s="68" t="inlineStr">
        <is>
          <t>互联网企业</t>
        </is>
      </c>
      <c r="F58" s="68" t="inlineStr">
        <is>
          <t>设备引起火灾</t>
        </is>
      </c>
      <c r="G58" s="68" t="inlineStr">
        <is>
          <t>电源(其他)</t>
        </is>
      </c>
      <c r="H58" s="68" t="inlineStr">
        <is>
          <t>触发消防</t>
        </is>
      </c>
      <c r="I58" s="68" t="inlineStr">
        <is>
          <t>特大火灾（GRIP 1级）</t>
        </is>
      </c>
      <c r="J58" s="68" t="inlineStr">
        <is>
          <t>2026年5月7日上午8:40，荷兰阿尔梅勒NorthC数据中心技术室发生特大火灾，建筑后部技术室（与数据大厅独立）起火，出动5辆消防车、3辆云梯车和1台灭火机器人，从莱利斯塔德机场调派机场消防车冷却柴油储罐。大火约12小时后于当晚21:30基本得到控制。建筑内所有人员成功疏散，无人员伤亡。</t>
        </is>
      </c>
      <c r="K58" s="68" t="inlineStr">
        <is>
          <t>乌特勒支大学网络、应用和网站全面瘫痪，学校次日关闭；Transdev公交/电车调度通信中断，车内紧急按钮失灵；IBM Cloud阿姆斯特丹03设施故障；Infomedics医疗账单处理电话和在线服务中断；荷兰统计局（CBS）及多家GP诊所受影响；当地发布NL-Alert紧急警报，要求居民关闭门窗和通风系统。</t>
        </is>
      </c>
      <c r="L58" s="68" t="inlineStr">
        <is>
          <t>约12小时</t>
        </is>
      </c>
      <c r="M58" s="68" t="n">
        <v>720</v>
      </c>
      <c r="N58" s="68" t="n"/>
      <c r="O58" s="68" t="n"/>
      <c r="P58" s="68" t="inlineStr">
        <is>
          <t>NorthC阿尔梅勒数据中心技术室火灾</t>
        </is>
      </c>
      <c r="Q58" s="68" t="inlineStr">
        <is>
          <t>应急电力设施被烧毁，服务器和数据载体未受损，无人员伤亡</t>
        </is>
      </c>
      <c r="R58" s="68" t="inlineStr">
        <is>
          <t>影响乌特勒支大学、Transdev公交、IBM Cloud、Infomedics等多家关键基础设施和公共服务</t>
        </is>
      </c>
      <c r="S58" s="68" t="inlineStr">
        <is>
          <t>火灾一周后（约5月13日），临时冗余供电和冷却系统启动，服务逐步恢复</t>
        </is>
      </c>
      <c r="T58" s="68" t="inlineStr">
        <is>
          <t>NorthC Datacenters</t>
        </is>
      </c>
      <c r="U58" s="68" t="inlineStr">
        <is>
          <t>火灾原因仍在调查中；业主Keppel DC REIT表示不影响2026年DPU</t>
        </is>
      </c>
      <c r="V58" s="68" t="inlineStr">
        <is>
          <t>https://www.datacenterdynamics.com/en/news/northc-data-center-outside-amsterdam-suffers-fire/</t>
        </is>
      </c>
      <c r="W58" s="68" t="inlineStr">
        <is>
          <t>https://m.bjx.com.cn/mnews/20260509/1494965.shtml</t>
        </is>
      </c>
    </row>
    <row r="59" ht="156" customHeight="1" s="1">
      <c r="A59" s="74" t="n">
        <v>58</v>
      </c>
      <c r="B59" s="70" t="inlineStr">
        <is>
          <t>2026年5月1日</t>
        </is>
      </c>
      <c r="C59" s="68" t="inlineStr">
        <is>
          <t>新西兰</t>
        </is>
      </c>
      <c r="D59" s="68" t="inlineStr">
        <is>
          <t>One NZ / 2degrees / Spark（RCG合资基站）</t>
        </is>
      </c>
      <c r="E59" s="68" t="inlineStr">
        <is>
          <t>通信企业</t>
        </is>
      </c>
      <c r="F59" s="68" t="inlineStr">
        <is>
          <t>割接调整</t>
        </is>
      </c>
      <c r="G59" s="68" t="inlineStr">
        <is>
          <t>4G EPC</t>
        </is>
      </c>
      <c r="H59" s="68" t="inlineStr">
        <is>
          <t>冗余保护失败</t>
        </is>
      </c>
      <c r="I59" s="68" t="inlineStr">
        <is>
          <t>网络升级触发软件Bug</t>
        </is>
      </c>
      <c r="J59" s="68" t="inlineStr">
        <is>
          <t>5月1日凌晨约1:30，One NZ执行夜间网络升级操作，触发供应商网络软件中已知Bug，致RCG合资运营的约90座基站下线。尝试回滚升级无效，Bug已嵌入系统无法简单回退。南岛全岛和北岛南部移动电话及宽带服务中断，连带2degrees和部分Spark用户。AA汽车协会南岛网点关闭。One NZ开放Starlink卫星服务应急。当天下午逐步恢复（惠灵顿宽带→南岛宽带→移动业务），CEO Jason Paris公开道歉。</t>
        </is>
      </c>
      <c r="K59" s="68" t="inlineStr">
        <is>
          <t>南岛全岛+北岛南部移动及宽带中断，约90座基站（占One NZ网络5%）下线，数十万用户受影响</t>
        </is>
      </c>
      <c r="L59" s="68" t="inlineStr">
        <is>
          <t>约10-12小时</t>
        </is>
      </c>
      <c r="M59" s="68" t="inlineStr">
        <is>
          <t>600-720</t>
        </is>
      </c>
      <c r="N59" s="68" t="n"/>
      <c r="O59" s="68" t="n"/>
      <c r="P59" s="68" t="inlineStr">
        <is>
          <t>夜间网络升级触发供应商软件已知Bug</t>
        </is>
      </c>
      <c r="Q59" s="68" t="inlineStr">
        <is>
          <t>回滚升级无效，Bug已嵌入系统无法回退</t>
        </is>
      </c>
      <c r="R59" s="68" t="inlineStr">
        <is>
          <t>RCG合资基础设施共享导致连带影响2degrees和Spark</t>
        </is>
      </c>
      <c r="S59" s="68" t="inlineStr">
        <is>
          <t>冗余设备同样受Bug影响，保护机制失效</t>
        </is>
      </c>
      <c r="T59" s="68" t="inlineStr">
        <is>
          <t>开放Starlink卫星服务应急；CEO公开道歉</t>
        </is>
      </c>
      <c r="U59" s="68" t="inlineStr">
        <is>
          <t>One NZ和供应商联合调查中，承诺防止复发</t>
        </is>
      </c>
      <c r="V59" s="68" t="n"/>
      <c r="W59" s="68" t="n"/>
    </row>
    <row r="60" ht="130" customHeight="1" s="1">
      <c r="A60" s="74" t="n">
        <v>59</v>
      </c>
      <c r="B60" s="70" t="inlineStr">
        <is>
          <t>2026年5月18日</t>
        </is>
      </c>
      <c r="C60" s="68" t="inlineStr">
        <is>
          <t>新西兰</t>
        </is>
      </c>
      <c r="D60" s="68" t="inlineStr">
        <is>
          <t>One NZ（One New Zealand）</t>
        </is>
      </c>
      <c r="E60" s="68" t="inlineStr">
        <is>
          <t>通信企业</t>
        </is>
      </c>
      <c r="F60" s="68" t="inlineStr">
        <is>
          <t>软件故障</t>
        </is>
      </c>
      <c r="G60" s="68" t="inlineStr">
        <is>
          <t>IMS</t>
        </is>
      </c>
      <c r="H60" s="68" t="inlineStr">
        <is>
          <t>冗余保护失败</t>
        </is>
      </c>
      <c r="I60" s="68" t="inlineStr">
        <is>
          <t>IMS核心网故障</t>
        </is>
      </c>
      <c r="J60" s="68" t="inlineStr">
        <is>
          <t>5月18日中午约12:30，One NZ突发全国范围移动通话中断，用户无法拨打和接听电话，手机信号格正常但通话功能完全失效。数据上网和短信功能未受影响，故障定位在语音通话核心网（IMS）。Downdetector录得数百起投诉。这是One NZ 5月内第二次重大事故（5月1日南岛断网），引发对网络可靠性担忧。报道时故障仍在调查中。</t>
        </is>
      </c>
      <c r="K60" s="68" t="inlineStr">
        <is>
          <t>新西兰全国约250万One NZ用户语音通话中断，数据/SMS正常</t>
        </is>
      </c>
      <c r="L60" s="68" t="inlineStr">
        <is>
          <t>报道时仍在调查中</t>
        </is>
      </c>
      <c r="M60" s="68" t="n"/>
      <c r="N60" s="68" t="n"/>
      <c r="O60" s="68" t="n"/>
      <c r="P60" s="68" t="inlineStr">
        <is>
          <t>IMS语音核心网软件故障（待确认）</t>
        </is>
      </c>
      <c r="Q60" s="68" t="inlineStr">
        <is>
          <t>备用通话路由未生效，冗余保护失败</t>
        </is>
      </c>
      <c r="R60" s="68" t="inlineStr">
        <is>
          <t>5月内第二次重大事故，网络可靠性受质疑</t>
        </is>
      </c>
      <c r="S60" s="68" t="n"/>
      <c r="T60" s="68" t="n"/>
      <c r="U60" s="68" t="inlineStr">
        <is>
          <t>【待更新】IMS核心网软件故障具体原因待官方确认（P列标注"待确认"）；运营商应对措施未披露；5月内第二次重大事故引发可靠性担忧</t>
        </is>
      </c>
      <c r="V60" s="68" t="n"/>
      <c r="W60" s="68" t="n"/>
    </row>
    <row r="61" ht="195" customHeight="1" s="1">
      <c r="A61" s="74" t="n">
        <v>60</v>
      </c>
      <c r="B61" s="70" t="inlineStr">
        <is>
          <t>2026年5月19日</t>
        </is>
      </c>
      <c r="C61" s="68" t="inlineStr">
        <is>
          <t>美国</t>
        </is>
      </c>
      <c r="D61" s="68" t="inlineStr">
        <is>
          <t>Railway / Google Cloud</t>
        </is>
      </c>
      <c r="E61" s="68" t="inlineStr">
        <is>
          <t>互联网企业</t>
        </is>
      </c>
      <c r="F61" s="68" t="inlineStr">
        <is>
          <t>软件故障</t>
        </is>
      </c>
      <c r="G61" s="68" t="inlineStr">
        <is>
          <t>云平台</t>
        </is>
      </c>
      <c r="H61" s="68" t="inlineStr">
        <is>
          <t>冗余保护失败</t>
        </is>
      </c>
      <c r="I61" s="68" t="inlineStr">
        <is>
          <t>云平台自动化误判+多云单点依赖</t>
        </is>
      </c>
      <c r="J61" s="68" t="inlineStr">
        <is>
          <t>5月19日22:10 UTC，Google Cloud自动化执法系统在无预警情况下将Railway年度千万美元级生产账户置为挂起状态。Railway API、控制台、数据库、计算实例全部下线。更致命的是，Railway边缘代理的路由表依赖GCP托管的控制面，路由缓存约1小时后过期，部署在AWS和Railway Metal上的客户工作负载也全部返回404。恢复过程中GitHub又对Railway实施OAuth/webhook限流，二次加重影响。Railway创始人称此事令人瞠目。事后承诺将GCP从关键路径移除，构建无单点依赖的多云网格架构。</t>
        </is>
      </c>
      <c r="K61" s="68" t="inlineStr">
        <is>
          <t>Railway平台300万+用户、约1000万托管服务全部不可达，波及所有区域（含AWS/Metal工作负载），约8小时全平台中断</t>
        </is>
      </c>
      <c r="L61" s="68" t="inlineStr">
        <is>
          <t>约8小时（至5月20日07:58 UTC完全恢复）</t>
        </is>
      </c>
      <c r="M61" s="68" t="inlineStr">
        <is>
          <t>480</t>
        </is>
      </c>
      <c r="N61" s="68" t="n"/>
      <c r="O61" s="68" t="n"/>
      <c r="P61" s="68" t="inlineStr">
        <is>
          <t>GCP自动化执法系统错误标识Railway账户为违规并自动挂起，具体触发原因不明</t>
        </is>
      </c>
      <c r="Q61" s="68" t="inlineStr">
        <is>
          <t>Railway路由控制面仅部署于GCP，单一云依赖导致AWS/Metal工作负载一并不可达</t>
        </is>
      </c>
      <c r="R61" s="68" t="inlineStr">
        <is>
          <t>GitHub在恢复过程中实施限流，二次中断登录和构建服务</t>
        </is>
      </c>
      <c r="S61" s="68" t="inlineStr">
        <is>
          <t>Railway承诺将GCP从关键路径移除，构建真正多云网格无单点依赖</t>
        </is>
      </c>
      <c r="T61" s="68" t="inlineStr">
        <is>
          <t>Railway紧急联系Google客户经理，P0工单提交后7分钟恢复账户访问，但存储和计算恢复耗时数小时</t>
        </is>
      </c>
      <c r="U61" s="68" t="inlineStr">
        <is>
          <t>Railway发布详细事故报告，启动架构改造计划</t>
        </is>
      </c>
      <c r="V61" s="68" t="inlineStr">
        <is>
          <t>https://blog.railway.com/p/incident-report-may-19-2026-gcp-account-outage</t>
        </is>
      </c>
      <c r="W61" s="68" t="inlineStr">
        <is>
          <t>https://www.theregister.com/off-prem/2026/05/20/google-cloud-suspended-major-customer-railwaycom-without-cause-causing-outage/</t>
        </is>
      </c>
    </row>
    <row r="62" ht="182" customHeight="1" s="1">
      <c r="A62" s="74" t="n">
        <v>61</v>
      </c>
      <c r="B62" s="70" t="inlineStr">
        <is>
          <t>2026年5月4日</t>
        </is>
      </c>
      <c r="C62" s="68" t="inlineStr">
        <is>
          <t>加拿大</t>
        </is>
      </c>
      <c r="D62" s="68" t="inlineStr">
        <is>
          <t>Telus</t>
        </is>
      </c>
      <c r="E62" s="68" t="inlineStr">
        <is>
          <t>通信企业</t>
        </is>
      </c>
      <c r="F62" s="68" t="inlineStr">
        <is>
          <t>恶意破坏</t>
        </is>
      </c>
      <c r="G62" s="68" t="inlineStr">
        <is>
          <t>光缆线路</t>
        </is>
      </c>
      <c r="H62" s="68" t="inlineStr">
        <is>
          <t>冗余保护失败</t>
        </is>
      </c>
      <c r="I62" s="68" t="inlineStr">
        <is>
          <t>人为破坏/盗窃</t>
        </is>
      </c>
      <c r="J62" s="68" t="inlineStr">
        <is>
          <t>加拿大不列颠哥伦比亚省北部（Burns Lake、Hazelton、Masset、Prince Rupert、Smithers、Terrace）。5月4日凌晨3:18，窃贼在BC省Burns Lake以东约30公里的Sheraton休息站附近试图盗窃铜缆，但误将Telus关键光纤线路切断，导致BC省北部6个主要城镇固话、移动、宽带全部中断。该段线路为单一链路，无冗余保护。RCMP立案调查，呼吁目击者提供线索。Telus修复团队当日出动专业设备抢修，服务于当天下午至傍晚逐步恢复。</t>
        </is>
      </c>
      <c r="K62" s="68" t="inlineStr">
        <is>
          <t>BC省北部6城镇固话、移动、宽带全中断；21家医疗机构受冲击（Starlink卫星备份保主要医院运营）；商家无法处理信用卡/借记卡支付；下游阿拉斯加Ketchikan当日断网；巡航游轮旅游受干扰。</t>
        </is>
      </c>
      <c r="L62" s="68" t="inlineStr">
        <is>
          <t>约14小时（3:18至17:00前后恢复）</t>
        </is>
      </c>
      <c r="M62" s="68" t="n">
        <v>840</v>
      </c>
      <c r="N62" s="68" t="n"/>
      <c r="O62" s="68" t="n"/>
      <c r="P62" s="68" t="inlineStr">
        <is>
          <t>窃贼试图盗窃铜缆，误切断关键光纤线路</t>
        </is>
      </c>
      <c r="Q62" s="68" t="inlineStr">
        <is>
          <t>该段线路为单点故障，无冗余路径</t>
        </is>
      </c>
      <c r="R62" s="68" t="inlineStr">
        <is>
          <t>铜价高涨驱动盗窃行为，关键基础设施保护不足</t>
        </is>
      </c>
      <c r="S62" s="68" t="n"/>
      <c r="T62" s="68" t="inlineStr">
        <is>
          <t>激活紧急漫游通过其他运营商保移动连接；911备份系统保持可用；Northern Health启动Starlink卫星备份保主要医院运营</t>
        </is>
      </c>
      <c r="U62" s="68" t="inlineStr">
        <is>
          <t>【待更新】RCMP立案调查中，窃贼尚未抓获；铜缆盗窃防范措施讨论中</t>
        </is>
      </c>
      <c r="V62" s="68" t="inlineStr">
        <is>
          <t>https://www.cbc.ca/news/canada/british-columbia/telus-outage-prince-rupert-terrace-northwest-9.7186828</t>
        </is>
      </c>
      <c r="W62" s="68" t="inlineStr">
        <is>
          <t>https://globalnews.ca/news/11829383/vandals-telus-outage-northern-bc-communities/</t>
        </is>
      </c>
    </row>
    <row r="63" ht="143" customHeight="1" s="1">
      <c r="A63" s="74" t="n">
        <v>62</v>
      </c>
      <c r="B63" s="70" t="inlineStr">
        <is>
          <t>2026年5月7日</t>
        </is>
      </c>
      <c r="C63" s="68" t="inlineStr">
        <is>
          <t>美国</t>
        </is>
      </c>
      <c r="D63" s="68" t="inlineStr">
        <is>
          <t>Amazon/AWS</t>
        </is>
      </c>
      <c r="E63" s="68" t="inlineStr">
        <is>
          <t>互联网企业</t>
        </is>
      </c>
      <c r="F63" s="68" t="inlineStr">
        <is>
          <t>设备设施故障</t>
        </is>
      </c>
      <c r="G63" s="68" t="inlineStr">
        <is>
          <t>暖通</t>
        </is>
      </c>
      <c r="H63" s="68" t="inlineStr">
        <is>
          <t>设备自动保护</t>
        </is>
      </c>
      <c r="I63" s="68" t="inlineStr">
        <is>
          <t>制冷系统故障引发热事件</t>
        </is>
      </c>
      <c r="J63" s="68" t="inlineStr">
        <is>
          <t>5月7日16:20 PDT，AWS US-EAST-1区域use1-az4可用区一处数据中心机房冷却系统故障，温度快速上升触发热事件。硬件达到安全阈值后自动关闭以保护设备，导致EC2实例、EBS卷及依赖服务大规模断电。AWS于5月8日13:50 PT恢复冷却系统至正常水平，部分服务延至5月9日完全恢复。这是US-EAST-1继2021年和2025年10月后的又一次重大事故。</t>
        </is>
      </c>
      <c r="K63" s="68" t="inlineStr">
        <is>
          <t>Coinbase交易平台中断约7小时（CEO公开批评"绝不可接受"）；FanDuel体育博彩平台在NBA季后赛期间下线2+小时；CME Direct机构交易平台受影响；Confluent Cloud等服务直到5月12日才完全恢复。</t>
        </is>
      </c>
      <c r="L63" s="68" t="inlineStr">
        <is>
          <t>约20小时（5月7日23:20 UTC至5月8日19:20 UTC基本恢复，部分服务延至5月9日）</t>
        </is>
      </c>
      <c r="M63" s="68" t="n">
        <v>1200</v>
      </c>
      <c r="N63" s="68" t="n"/>
      <c r="O63" s="68" t="n"/>
      <c r="P63" s="68" t="inlineStr">
        <is>
          <t>数据中心冷却系统故障，机房温度急剧上升</t>
        </is>
      </c>
      <c r="Q63" s="68" t="inlineStr">
        <is>
          <t>硬件自动保护性关机，恢复过程需物理干预，耗时漫长</t>
        </is>
      </c>
      <c r="R63" s="68" t="inlineStr">
        <is>
          <t>Coinbase交易匹配引擎单AZ部署，违背多AZ容灾设计原则</t>
        </is>
      </c>
      <c r="S63" s="68" t="inlineStr">
        <is>
          <t>US-EAST-1运营规模过大，基础设施应力长期累积</t>
        </is>
      </c>
      <c r="T63" s="68" t="inlineStr">
        <is>
          <t>AWS建议用户从受影响AZ迁移工作负载至其他AZ或区域</t>
        </is>
      </c>
      <c r="U63" s="68" t="inlineStr">
        <is>
          <t>AWS发布事故报告；Coinbase宣布重新审视DR策略</t>
        </is>
      </c>
      <c r="V63" s="68" t="inlineStr">
        <is>
          <t>https://www.theregister.com/off-prem/2026/05/08/aws-warns-of-ec2-impairment-as-power-loss-hits-notorious-us-east-1-region/5235509</t>
        </is>
      </c>
      <c r="W63" s="68" t="inlineStr">
        <is>
          <t>https://qz.com/aws-data-center-outage-coinbase-northern-virginia-050826</t>
        </is>
      </c>
    </row>
    <row r="64" ht="143" customHeight="1" s="1">
      <c r="A64" s="74" t="n">
        <v>63</v>
      </c>
      <c r="B64" s="70" t="inlineStr">
        <is>
          <t>2026年6月4日</t>
        </is>
      </c>
      <c r="C64" s="68" t="inlineStr">
        <is>
          <t>冈比亚</t>
        </is>
      </c>
      <c r="D64" s="68" t="inlineStr">
        <is>
          <t>GAMTEL / Africell / Comium</t>
        </is>
      </c>
      <c r="E64" s="68" t="inlineStr">
        <is>
          <t>通信企业</t>
        </is>
      </c>
      <c r="F64" s="68" t="inlineStr">
        <is>
          <t>环境-停电</t>
        </is>
      </c>
      <c r="G64" s="68" t="inlineStr">
        <is>
          <t>电源(其他)</t>
        </is>
      </c>
      <c r="H64" s="68" t="inlineStr">
        <is>
          <t>设备断电</t>
        </is>
      </c>
      <c r="I64" s="68" t="inlineStr">
        <is>
          <t>电力中断</t>
        </is>
      </c>
      <c r="J64" s="68" t="inlineStr">
        <is>
          <t>冈比亚ACE（Africa Coast to Europe）海底光缆系统Sukuta登陆站因国家持续电力危机导致电网断电。备用发电机随后失效，电池组耗尽后海缆系统完全关闭，全国互联网中断。所有主要运营商（Africell、Comium等）均受影响，部分用户语音和短信服务也出现故障。冈比亚本就面临全国性电力和供水短缺双重危机，此次断网进一步加剧社会运转困难。</t>
        </is>
      </c>
      <c r="K64" s="68" t="inlineStr">
        <is>
          <t>全国互联网中断，约150万用户受影响；银行交易、数字支付、在线服务全面瘱痪；医院、学校等公共服务受影响。断网叠加全国性电力和供水危机，社会运转严重受阻。</t>
        </is>
      </c>
      <c r="L64" s="68" t="inlineStr">
        <is>
          <t>恢复时间未公布（截至报道时仍在抢修中）</t>
        </is>
      </c>
      <c r="M64" s="68" t="n"/>
      <c r="N64" s="68" t="n"/>
      <c r="O64" s="68" t="n"/>
      <c r="P64" s="68" t="inlineStr">
        <is>
          <t>ACE海缆Sukuta登陆站电网断电</t>
        </is>
      </c>
      <c r="Q64" s="68" t="inlineStr">
        <is>
          <t>备用发电机失效，电池耗尽</t>
        </is>
      </c>
      <c r="R64" s="68" t="inlineStr">
        <is>
          <t>冈比亚仅连接ACE单一海缆系统，无国际互联网冗余</t>
        </is>
      </c>
      <c r="S64" s="68" t="inlineStr">
        <is>
          <t>国家电力基础设施薄弱，长期电力危机削弱关键设施韧性</t>
        </is>
      </c>
      <c r="T64" s="68" t="inlineStr">
        <is>
          <t>GAMTEL技术团队紧急抢修，未公布恢复时间线</t>
        </is>
      </c>
      <c r="U64" s="68" t="inlineStr">
        <is>
          <t>【待更新】恢复时间未公布，冈比亚电力危机持续，ACE海缆冗余建设尚无时间表</t>
        </is>
      </c>
      <c r="V64" s="68" t="inlineStr">
        <is>
          <t>https://thepoint.gm/africa/gambia/headlines/nation-hit-by-internet-outage-amid-ongoing-power-cuts</t>
        </is>
      </c>
      <c r="W64" s="68" t="inlineStr">
        <is>
          <t>https://gambiaj.com/i-t/telecoms/gamtel-reports-nationwide-internet-disruption-following-ace-fiber-optic-network-outage/</t>
        </is>
      </c>
    </row>
    <row r="65" ht="182" customHeight="1" s="1">
      <c r="A65" s="74" t="n">
        <v>64</v>
      </c>
      <c r="B65" s="70" t="inlineStr">
        <is>
          <t>2026年6月5日</t>
        </is>
      </c>
      <c r="C65" s="68" t="inlineStr">
        <is>
          <t>印度</t>
        </is>
      </c>
      <c r="D65" s="68" t="inlineStr">
        <is>
          <t>Tata Communications</t>
        </is>
      </c>
      <c r="E65" s="68" t="inlineStr">
        <is>
          <t>通信企业</t>
        </is>
      </c>
      <c r="F65" s="68" t="inlineStr">
        <is>
          <t>设备引起火灾</t>
        </is>
      </c>
      <c r="G65" s="68" t="inlineStr">
        <is>
          <t>电源(电池)</t>
        </is>
      </c>
      <c r="H65" s="68" t="inlineStr">
        <is>
          <t>触发消防</t>
        </is>
      </c>
      <c r="I65" s="68" t="inlineStr">
        <is>
          <t>数据中心火灾</t>
        </is>
      </c>
      <c r="J65" s="68" t="inlineStr">
        <is>
          <t>6月5日凌晨约2:47，Tata Communications新德里Greater Kailash区Next-Gen Tower数据中心三层电池室起火，过火面积约200平方英尺，出动11辆消防车，约7:05控制火势。2名消防员手部烧伤，无平民伤亡。Tata启动业务连续性/灾备协议，BGP流量迁至备用数据中心，服务保持运行。但印度煤炭公司(CIL)及子公司e-Office电子政务系统因集中化架构完全瘫痪（电子文件、数字签名、审批全停），恢复预计至6月7日。这是2026年印度首起重大数据中心火灾事故。</t>
        </is>
      </c>
      <c r="K65" s="68" t="inlineStr">
        <is>
          <t>印度煤炭公司(CIL)及子公司e-Office数字办公系统完全瘫痪，影响国家核心能源企业日常运转。大部分客户服务通过灾备维持运行。</t>
        </is>
      </c>
      <c r="L65" s="68" t="inlineStr">
        <is>
          <t>约4.5小时（2:47-7:05火势控制），服务完全恢复预计2天（至6月7日）</t>
        </is>
      </c>
      <c r="M65" s="68" t="n">
        <v>270</v>
      </c>
      <c r="N65" s="68" t="n"/>
      <c r="O65" s="68" t="n"/>
      <c r="P65" s="68" t="n"/>
      <c r="Q65" s="68" t="n"/>
      <c r="R65" s="68" t="n"/>
      <c r="S65" s="68" t="n"/>
      <c r="T65" s="68" t="inlineStr">
        <is>
          <t>立即启动BC/DR协议，BGP路由迁至备用数据中心</t>
        </is>
      </c>
      <c r="U65" s="68" t="inlineStr">
        <is>
          <t>【待更新】事故原因调查中，Direct-to-Home服务延至6月7日恢复</t>
        </is>
      </c>
      <c r="V65" s="68" t="inlineStr">
        <is>
          <t>https://www.ndtvprofit.com/business/tata-communications-reports-fire-at-new-delhi-premises-no-casualties-reported-11595598</t>
        </is>
      </c>
      <c r="W65" s="68" t="inlineStr">
        <is>
          <t>https://www.freepressjournal.in/business/fire-breaks-out-at-tata-communications-facility-in-delhi-no-casualties-reported</t>
        </is>
      </c>
    </row>
    <row r="66" ht="221" customHeight="1" s="1">
      <c r="A66" s="74" t="n">
        <v>65</v>
      </c>
      <c r="B66" s="70" t="inlineStr">
        <is>
          <t>2026年6月9日</t>
        </is>
      </c>
      <c r="C66" s="68" t="inlineStr">
        <is>
          <t>印度</t>
        </is>
      </c>
      <c r="D66" s="68" t="inlineStr">
        <is>
          <t>Google Cloud / STT GDC</t>
        </is>
      </c>
      <c r="E66" s="68" t="inlineStr">
        <is>
          <t>互联网企业</t>
        </is>
      </c>
      <c r="F66" s="68" t="inlineStr">
        <is>
          <t>设备引起火灾</t>
        </is>
      </c>
      <c r="G66" s="68" t="inlineStr">
        <is>
          <t>承载数通</t>
        </is>
      </c>
      <c r="H66" s="68" t="inlineStr">
        <is>
          <t>未及时发现</t>
        </is>
      </c>
      <c r="I66" s="68" t="inlineStr">
        <is>
          <t>云服务中断（数据中心火灾）</t>
        </is>
      </c>
      <c r="J66" s="68" t="inlineStr">
        <is>
          <t>6月9日23:52 IST，STT GDC运营的德里第三方数据中心（Tata Communications大楼）电池室火灾导致紧急断电。Google Cloud德里本地PoP被隔离，网络容量下降。德里、孟买、钦奈三城出现间歇性中断、高延迟和丢包，影响电商、金融科技、SaaS、游戏、流媒体等行业。6月9日当晚启动流量重路由，6月17日恢复大部分容量（德里-Chennai/德里-Mumbai链路恢复，互联网Edge对等部分恢复）。截至6月22日仍在监控，客户可能继续经历非最优路由。与6月5日Tata火灾同设施，但受影响方不同（6/5为Tata托管客户如Coal India，6/9为Google Cloud及其下游客户）。</t>
        </is>
      </c>
      <c r="K66" s="68" t="inlineStr">
        <is>
          <t>印度德里/孟买/钦奈三城Google Cloud客户出现间歇性中断和性能下降，电商、金融科技、流媒体、游戏等行业受影响。无计算资源损失，网络层拥塞为主。</t>
        </is>
      </c>
      <c r="L66" s="68" t="inlineStr">
        <is>
          <t>6月9日23:52起-6月17日基本恢复容量（约8天），部分延迟仍持续至6月22日后</t>
        </is>
      </c>
      <c r="M66" s="68" t="n">
        <v>11520</v>
      </c>
      <c r="N66" s="68" t="n"/>
      <c r="O66" s="68" t="n"/>
      <c r="P66" s="68" t="n"/>
      <c r="Q66" s="68" t="n"/>
      <c r="R66" s="68" t="n"/>
      <c r="S66" s="68" t="n"/>
      <c r="T66" s="68" t="inlineStr">
        <is>
          <t>紧急重路由德里流量至其他节点；恢复互联网Edge对等部分容量；Chennai增加跨区域对等以分流大ISP；增扩德里-Chennai和德里-Mumbai主干容量</t>
        </is>
      </c>
      <c r="U66" s="68" t="inlineStr">
        <is>
          <t>【待更新】截至6月22日Google Cloud仍在调查延迟偏差，未公布设施完全恢复时间线</t>
        </is>
      </c>
      <c r="V66" s="68" t="inlineStr">
        <is>
          <t>https://status.cloud.google.com/incidents/5fGQt4VbkDnr3Yp8PXPr</t>
        </is>
      </c>
      <c r="W66" s="68" t="inlineStr">
        <is>
          <t>https://indianexpress.com/article/business/delhi-data-centre-fire-impacts-google-cloud-services-india-latency-10733218/</t>
        </is>
      </c>
    </row>
    <row r="67" ht="143" customHeight="1" s="1">
      <c r="A67" s="68" t="n">
        <v>66</v>
      </c>
      <c r="B67" s="70" t="inlineStr">
        <is>
          <t>2026年6月18日</t>
        </is>
      </c>
      <c r="C67" s="68" t="inlineStr">
        <is>
          <t>澳大利亚</t>
        </is>
      </c>
      <c r="D67" s="68" t="inlineStr">
        <is>
          <t>Vodafone / TPG Telecom</t>
        </is>
      </c>
      <c r="E67" s="68" t="inlineStr">
        <is>
          <t>通信企业</t>
        </is>
      </c>
      <c r="F67" s="68" t="inlineStr">
        <is>
          <t>设备设施故障</t>
        </is>
      </c>
      <c r="G67" s="68" t="inlineStr">
        <is>
          <t>电源(其他)</t>
        </is>
      </c>
      <c r="H67" s="68" t="inlineStr">
        <is>
          <t>冗余保护失败</t>
        </is>
      </c>
      <c r="I67" s="68" t="inlineStr">
        <is>
          <t>电力中断引发核心网故障</t>
        </is>
      </c>
      <c r="J67" s="68" t="inlineStr">
        <is>
          <t>6月18日上午约7:30 AEST，Vodafone澳大利亚一处网络枢纽发生电力故障，备份电源失效，导致全国移动网络中断。受影响用户约540万，手机降至SOS模式。波及TPG、iiNet、Internode、Lebara等MVNO。Vodafone自身网络状态查询系统也因托管在同一枢纽而瘫痪。服务于约11:00逐步恢复，历时约3.5小时。根因指向集中式核心网架构的单点故障缺陷。</t>
        </is>
      </c>
      <c r="K67" s="68" t="inlineStr">
        <is>
          <t>约540万用户约3.5小时无法通话/上网，影响悉尼、墨尔本、布里斯班、珀斯等全国主要城市及偏远地区。商户支付、出行等日常服务受干扰。MVNO用户同步断网。</t>
        </is>
      </c>
      <c r="L67" s="68" t="inlineStr">
        <is>
          <t>约3.5小时（7:30-11:00 AEST）</t>
        </is>
      </c>
      <c r="M67" s="68" t="n">
        <v>210</v>
      </c>
      <c r="N67" s="68" t="n">
        <v>5400000</v>
      </c>
      <c r="O67" s="68" t="n"/>
      <c r="P67" s="68" t="inlineStr">
        <is>
          <t>网络枢纽电力故障，备份电源失效</t>
        </is>
      </c>
      <c r="Q67" s="68" t="inlineStr">
        <is>
          <t>集中式核心网架构，单点故障无冗余保护</t>
        </is>
      </c>
      <c r="R67" s="68" t="inlineStr">
        <is>
          <t>MVNO无独立回退能力，故障影响同步扩散</t>
        </is>
      </c>
      <c r="S67" s="68" t="n"/>
      <c r="T67" s="68" t="inlineStr">
        <is>
          <t>确认问题后隔离并解决，服务于11:00逐步恢复；表示将审查事件并加强网络韧性</t>
        </is>
      </c>
      <c r="U67" s="68" t="inlineStr">
        <is>
          <t>【待更新】备份电源失效原因未公布，Vodafone仅称"审查事件并加强韧性"；新ACMA强制断网透明规则6月30日生效</t>
        </is>
      </c>
      <c r="V67" s="68" t="inlineStr">
        <is>
          <t>https://theconversation.com/vodafone-has-suffered-another-major-outage-a-telco-expert-explains-what-went-wrong-285588</t>
        </is>
      </c>
      <c r="W67" s="68" t="inlineStr">
        <is>
          <t>https://www.datacenterdynamics.com/en/news/vodafone-australia-restores-network-following-major-outage/</t>
        </is>
      </c>
    </row>
  </sheetData>
  <autoFilter ref="E1:E64"/>
  <dataValidations count="2">
    <dataValidation sqref="E1:E1048576" showDropDown="0" showInputMessage="1" showErrorMessage="1" allowBlank="1" type="list">
      <formula1>"通信企业,互联网企业,政府机构,其他"</formula1>
    </dataValidation>
    <dataValidation sqref="I1:I1048576" showDropDown="0" showInputMessage="1" showErrorMessage="1" allowBlank="1" type="list">
      <formula1>"设备故障（软件）,设备故障（硬件）,人为操作,光缆/链路故障,云服务,火灾,自然灾害,电力,暖通,人为破坏,恶意破坏,自然灾害,未知,其他"</formula1>
    </dataValidation>
  </dataValidations>
  <hyperlinks>
    <hyperlink xmlns:r="http://schemas.openxmlformats.org/officeDocument/2006/relationships" ref="V35" r:id="rId1"/>
    <hyperlink xmlns:r="http://schemas.openxmlformats.org/officeDocument/2006/relationships" ref="U41" r:id="rId2"/>
    <hyperlink xmlns:r="http://schemas.openxmlformats.org/officeDocument/2006/relationships" ref="U45" r:id="rId3"/>
    <hyperlink xmlns:r="http://schemas.openxmlformats.org/officeDocument/2006/relationships" ref="U46" r:id="rId4"/>
    <hyperlink xmlns:r="http://schemas.openxmlformats.org/officeDocument/2006/relationships" ref="V51" r:id="rId5"/>
    <hyperlink xmlns:r="http://schemas.openxmlformats.org/officeDocument/2006/relationships" ref="V52" r:id="rId6"/>
    <hyperlink xmlns:r="http://schemas.openxmlformats.org/officeDocument/2006/relationships" ref="W52" r:id="rId7"/>
    <hyperlink xmlns:r="http://schemas.openxmlformats.org/officeDocument/2006/relationships" ref="V53" r:id="rId8"/>
    <hyperlink xmlns:r="http://schemas.openxmlformats.org/officeDocument/2006/relationships" ref="V54" r:id="rId9"/>
    <hyperlink xmlns:r="http://schemas.openxmlformats.org/officeDocument/2006/relationships" ref="W54" r:id="rId10"/>
    <hyperlink xmlns:r="http://schemas.openxmlformats.org/officeDocument/2006/relationships" ref="V55" r:id="rId11"/>
    <hyperlink xmlns:r="http://schemas.openxmlformats.org/officeDocument/2006/relationships" ref="V56" r:id="rId1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D19"/>
  <sheetViews>
    <sheetView workbookViewId="0">
      <selection activeCell="B15" sqref="B15"/>
    </sheetView>
  </sheetViews>
  <sheetFormatPr baseColWidth="8" defaultColWidth="9" defaultRowHeight="14"/>
  <cols>
    <col width="22.1640625" customWidth="1" style="1" min="2" max="2"/>
    <col width="13.75" customWidth="1" style="1" min="3" max="3"/>
    <col width="13.83203125" customWidth="1" style="1" min="4" max="4"/>
  </cols>
  <sheetData>
    <row r="2">
      <c r="A2" s="2" t="inlineStr">
        <is>
          <t>公司性质</t>
        </is>
      </c>
      <c r="B2" s="3" t="inlineStr">
        <is>
          <t>原因</t>
        </is>
      </c>
      <c r="C2" s="3" t="inlineStr">
        <is>
          <t>初始故障系统</t>
        </is>
      </c>
      <c r="D2" s="2" t="inlineStr">
        <is>
          <t>事故扩大原因</t>
        </is>
      </c>
    </row>
    <row r="3">
      <c r="A3" s="0" t="inlineStr">
        <is>
          <t>通信企业</t>
        </is>
      </c>
      <c r="B3" s="0" t="inlineStr">
        <is>
          <t>割接调整</t>
        </is>
      </c>
      <c r="C3" s="0" t="inlineStr">
        <is>
          <t>电源(UPS)</t>
        </is>
      </c>
      <c r="D3" s="0" t="inlineStr">
        <is>
          <t>设备断电</t>
        </is>
      </c>
    </row>
    <row r="4">
      <c r="A4" s="0" t="inlineStr">
        <is>
          <t>互联网企业</t>
        </is>
      </c>
      <c r="B4" s="0" t="inlineStr">
        <is>
          <t>人员误操作（日常维护）</t>
        </is>
      </c>
      <c r="C4" s="0" t="inlineStr">
        <is>
          <t>电源(电池)</t>
        </is>
      </c>
      <c r="D4" s="0" t="inlineStr">
        <is>
          <t>信令风暴</t>
        </is>
      </c>
    </row>
    <row r="5">
      <c r="A5" s="0" t="inlineStr">
        <is>
          <t>政府机构</t>
        </is>
      </c>
      <c r="B5" s="0" t="inlineStr">
        <is>
          <t>人员误操作（工程）</t>
        </is>
      </c>
      <c r="C5" s="0" t="inlineStr">
        <is>
          <t>电源(其他)</t>
        </is>
      </c>
      <c r="D5" s="0" t="inlineStr">
        <is>
          <t>触发消防</t>
        </is>
      </c>
    </row>
    <row r="6">
      <c r="B6" s="0" t="inlineStr">
        <is>
          <t>外部破坏</t>
        </is>
      </c>
      <c r="C6" s="0" t="inlineStr">
        <is>
          <t>暖通</t>
        </is>
      </c>
      <c r="D6" s="0" t="inlineStr">
        <is>
          <t>处理不当</t>
        </is>
      </c>
    </row>
    <row r="7">
      <c r="B7" s="0" t="inlineStr">
        <is>
          <t>恶意破坏</t>
        </is>
      </c>
      <c r="C7" s="0" t="inlineStr">
        <is>
          <t>5GC</t>
        </is>
      </c>
      <c r="D7" s="0" t="inlineStr">
        <is>
          <t>协同配合问题</t>
        </is>
      </c>
    </row>
    <row r="8">
      <c r="B8" s="0" t="inlineStr">
        <is>
          <t>设备设施故障</t>
        </is>
      </c>
      <c r="C8" s="0" t="inlineStr">
        <is>
          <t>4G EPC</t>
        </is>
      </c>
      <c r="D8" s="0" t="inlineStr">
        <is>
          <t>配置不合理</t>
        </is>
      </c>
    </row>
    <row r="9">
      <c r="B9" s="0" t="inlineStr">
        <is>
          <t>外部环境-火灾</t>
        </is>
      </c>
      <c r="C9" s="0" t="inlineStr">
        <is>
          <t>IMS</t>
        </is>
      </c>
      <c r="D9" s="0" t="inlineStr">
        <is>
          <t>冗余保护失败</t>
        </is>
      </c>
    </row>
    <row r="10">
      <c r="B10" s="33" t="inlineStr">
        <is>
          <t>设备引起火灾</t>
        </is>
      </c>
      <c r="C10" s="0" t="inlineStr">
        <is>
          <t>2/3G</t>
        </is>
      </c>
      <c r="D10" s="0" t="inlineStr">
        <is>
          <t>设备自动保护</t>
        </is>
      </c>
    </row>
    <row r="11">
      <c r="B11" s="0" t="inlineStr">
        <is>
          <t>环境-停电</t>
        </is>
      </c>
      <c r="C11" s="0" t="inlineStr">
        <is>
          <t>短信</t>
        </is>
      </c>
      <c r="D11" s="0" t="inlineStr">
        <is>
          <t>未及时发现</t>
        </is>
      </c>
    </row>
    <row r="12">
      <c r="B12" s="0" t="inlineStr">
        <is>
          <t>外部环境-自然灾害</t>
        </is>
      </c>
      <c r="C12" s="0" t="inlineStr">
        <is>
          <t>信令</t>
        </is>
      </c>
    </row>
    <row r="13">
      <c r="B13" s="0" t="inlineStr">
        <is>
          <t>软件故障</t>
        </is>
      </c>
      <c r="C13" s="0" t="inlineStr">
        <is>
          <t>云平台</t>
        </is>
      </c>
    </row>
    <row r="14">
      <c r="C14" s="0" t="inlineStr">
        <is>
          <t>承载数通</t>
        </is>
      </c>
    </row>
    <row r="15">
      <c r="C15" s="0" t="inlineStr">
        <is>
          <t>DNS</t>
        </is>
      </c>
    </row>
    <row r="16">
      <c r="C16" s="0" t="inlineStr">
        <is>
          <t>传输</t>
        </is>
      </c>
    </row>
    <row r="17">
      <c r="C17" s="0" t="inlineStr">
        <is>
          <t>光缆线路</t>
        </is>
      </c>
    </row>
    <row r="18">
      <c r="C18" s="0" t="inlineStr">
        <is>
          <t>数据库</t>
        </is>
      </c>
    </row>
    <row r="19">
      <c r="C19" s="0" t="inlineStr">
        <is>
          <t>其他</t>
        </is>
      </c>
    </row>
  </sheetData>
  <dataValidations count="4">
    <dataValidation sqref="C2" showDropDown="0" showInputMessage="1" showErrorMessage="1" allowBlank="1" type="list">
      <formula1>"电源(UPS),电源（其他),暖通,5GC,4G EPC,IMS,2/3G,短信,信令,云平台,承载数通,DNS,传输,光缆线路,数据库,其他"</formula1>
    </dataValidation>
    <dataValidation sqref="E1:E1048576" showDropDown="0" showInputMessage="1" showErrorMessage="1" allowBlank="1" type="list">
      <formula1>$B$3:$B$12</formula1>
    </dataValidation>
    <dataValidation sqref="F1:F1048576" showDropDown="0" showInputMessage="1" showErrorMessage="1" allowBlank="1" type="list">
      <formula1>$C$3:$C$19</formula1>
    </dataValidation>
    <dataValidation sqref="G1:G1048576" showDropDown="0" showInputMessage="1" showErrorMessage="1" allowBlank="1" type="list">
      <formula1>$D$3:$D$9</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Hatti Yang</dc:creator>
  <dcterms:created xmlns:dcterms="http://purl.org/dc/terms/" xmlns:xsi="http://www.w3.org/2001/XMLSchema-instance" xsi:type="dcterms:W3CDTF">2023-02-03T00:43:00Z</dcterms:created>
  <dcterms:modified xmlns:dcterms="http://purl.org/dc/terms/" xmlns:xsi="http://www.w3.org/2001/XMLSchema-instance" xsi:type="dcterms:W3CDTF">2026-06-23T11:57:22Z</dcterms:modified>
  <cp:lastModifiedBy>泽 杨</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ICV" fmtid="{D5CDD505-2E9C-101B-9397-08002B2CF9AE}" pid="3">
    <vt:lpwstr xmlns:vt="http://schemas.openxmlformats.org/officeDocument/2006/docPropsVTypes">D9284DDFB762479EA17592BB4EB02512_12</vt:lpwstr>
  </property>
  <property name="CalculationRule" fmtid="{D5CDD505-2E9C-101B-9397-08002B2CF9AE}" pid="4">
    <vt:i4 xmlns:vt="http://schemas.openxmlformats.org/officeDocument/2006/docPropsVTypes">0</vt:i4>
  </property>
</Properties>
</file>